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Retail\Shopping Centers\0. RETAIL SERVICES\12. TECHNICAL MANAGEMENT\03 DOC. TCO. LEGAL\"/>
    </mc:Choice>
  </mc:AlternateContent>
  <xr:revisionPtr revIDLastSave="0" documentId="13_ncr:1_{50CF29AE-D66F-4BDE-9DCA-0ACDDCACE26E}" xr6:coauthVersionLast="47" xr6:coauthVersionMax="47" xr10:uidLastSave="{00000000-0000-0000-0000-000000000000}"/>
  <workbookProtection workbookAlgorithmName="SHA-512" workbookHashValue="nsJgBtRWtX8L5WulX7UFZ3BBy/ebd0b9vO48zteBySrt7DBoLuAA6G1sqpcDLsjfY2xxrfsTUYcCueKXKKZmGg==" workbookSaltValue="PGuAZVqljSFJhNAAy4Jg1Q==" workbookSpinCount="100000" lockStructure="1"/>
  <bookViews>
    <workbookView xWindow="-110" yWindow="-110" windowWidth="19420" windowHeight="11500" tabRatio="410" xr2:uid="{AF9F7AFC-5AED-4EAB-B42C-86412C1D9BF4}"/>
  </bookViews>
  <sheets>
    <sheet name="FICHA" sheetId="1" r:id="rId1"/>
    <sheet name="VISTA_ESTADO" sheetId="5" r:id="rId2"/>
    <sheet name="BD" sheetId="2" state="hidden" r:id="rId3"/>
  </sheets>
  <definedNames>
    <definedName name="_xlnm._FilterDatabase" localSheetId="2" hidden="1">BD!$C$3:$H$40</definedName>
    <definedName name="_xlnm._FilterDatabase" localSheetId="0" hidden="1">FICHA!$B$10:$V$10</definedName>
    <definedName name="_xlnm._FilterDatabase" localSheetId="1" hidden="1">VISTA_ESTADO!$B$28:$M$28</definedName>
    <definedName name="_xlnm.Print_Area" localSheetId="0">FICHA!$B$1:$T$94</definedName>
    <definedName name="Z_AFEF642E_49E4_4E87_9020_14590227B0B9_.wvu.Cols" localSheetId="0" hidden="1">FICHA!#REF!,FICHA!#REF!,FICHA!#REF!,FICHA!#REF!</definedName>
    <definedName name="Z_AFEF642E_49E4_4E87_9020_14590227B0B9_.wvu.FilterData" localSheetId="0" hidden="1">FICHA!$G$10:$T$10</definedName>
  </definedNames>
  <calcPr calcId="191029"/>
  <customWorkbookViews>
    <customWorkbookView name="Vista" guid="{AFEF642E-49E4-4E87-9020-14590227B0B9}" includePrintSettings="0" maximized="1" xWindow="-3" yWindow="-1088" windowWidth="1936" windowHeight="1056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1" l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89" i="2"/>
  <c r="K90" i="2"/>
  <c r="K91" i="2"/>
  <c r="K92" i="2"/>
  <c r="F8" i="5"/>
  <c r="F7" i="5"/>
  <c r="F4" i="5"/>
  <c r="P19" i="1" l="1"/>
  <c r="Q19" i="1" s="1"/>
  <c r="G14" i="5" l="1"/>
  <c r="P11" i="1"/>
  <c r="P12" i="1"/>
  <c r="Q12" i="1" s="1"/>
  <c r="P25" i="1"/>
  <c r="Q25" i="1" s="1"/>
  <c r="P13" i="1"/>
  <c r="K7" i="2" s="1"/>
  <c r="P26" i="1"/>
  <c r="K20" i="2" s="1"/>
  <c r="P14" i="1"/>
  <c r="K8" i="2" s="1"/>
  <c r="P15" i="1"/>
  <c r="K9" i="2" s="1"/>
  <c r="P30" i="1"/>
  <c r="Q30" i="1" s="1"/>
  <c r="P31" i="1"/>
  <c r="K25" i="2" s="1"/>
  <c r="P32" i="1"/>
  <c r="Q32" i="1" s="1"/>
  <c r="P36" i="1"/>
  <c r="Q36" i="1" s="1"/>
  <c r="P21" i="1"/>
  <c r="Q21" i="1" s="1"/>
  <c r="P33" i="1"/>
  <c r="Q33" i="1" s="1"/>
  <c r="P34" i="1"/>
  <c r="Q34" i="1" s="1"/>
  <c r="P24" i="1"/>
  <c r="Q24" i="1" s="1"/>
  <c r="P35" i="1"/>
  <c r="K29" i="2" s="1"/>
  <c r="K13" i="2"/>
  <c r="P60" i="1"/>
  <c r="Q60" i="1" s="1"/>
  <c r="P49" i="1"/>
  <c r="K43" i="2" s="1"/>
  <c r="P38" i="1"/>
  <c r="K32" i="2" s="1"/>
  <c r="P50" i="1"/>
  <c r="K44" i="2" s="1"/>
  <c r="P62" i="1"/>
  <c r="Q62" i="1" s="1"/>
  <c r="P74" i="1"/>
  <c r="Q74" i="1" s="1"/>
  <c r="P86" i="1"/>
  <c r="K80" i="2" s="1"/>
  <c r="P28" i="1"/>
  <c r="Q28" i="1" s="1"/>
  <c r="P40" i="1"/>
  <c r="K34" i="2" s="1"/>
  <c r="P52" i="1"/>
  <c r="K46" i="2" s="1"/>
  <c r="P64" i="1"/>
  <c r="K58" i="2" s="1"/>
  <c r="P76" i="1"/>
  <c r="K70" i="2" s="1"/>
  <c r="P88" i="1"/>
  <c r="K82" i="2" s="1"/>
  <c r="P16" i="1"/>
  <c r="Q16" i="1" s="1"/>
  <c r="P41" i="1"/>
  <c r="K35" i="2" s="1"/>
  <c r="P53" i="1"/>
  <c r="K47" i="2" s="1"/>
  <c r="P65" i="1"/>
  <c r="K59" i="2" s="1"/>
  <c r="P77" i="1"/>
  <c r="Q77" i="1" s="1"/>
  <c r="P89" i="1"/>
  <c r="Q89" i="1" s="1"/>
  <c r="P17" i="1"/>
  <c r="Q17" i="1" s="1"/>
  <c r="P42" i="1"/>
  <c r="Q42" i="1" s="1"/>
  <c r="P54" i="1"/>
  <c r="Q54" i="1" s="1"/>
  <c r="P66" i="1"/>
  <c r="K60" i="2" s="1"/>
  <c r="P78" i="1"/>
  <c r="Q78" i="1" s="1"/>
  <c r="P90" i="1"/>
  <c r="Q90" i="1" s="1"/>
  <c r="P18" i="1"/>
  <c r="Q18" i="1" s="1"/>
  <c r="P43" i="1"/>
  <c r="Q43" i="1" s="1"/>
  <c r="P55" i="1"/>
  <c r="Q55" i="1" s="1"/>
  <c r="P67" i="1"/>
  <c r="Q67" i="1" s="1"/>
  <c r="P79" i="1"/>
  <c r="K73" i="2" s="1"/>
  <c r="P91" i="1"/>
  <c r="K85" i="2" s="1"/>
  <c r="P20" i="1"/>
  <c r="Q20" i="1" s="1"/>
  <c r="P44" i="1"/>
  <c r="Q44" i="1" s="1"/>
  <c r="P56" i="1"/>
  <c r="K50" i="2" s="1"/>
  <c r="P68" i="1"/>
  <c r="Q68" i="1" s="1"/>
  <c r="P80" i="1"/>
  <c r="K74" i="2" s="1"/>
  <c r="P92" i="1"/>
  <c r="Q92" i="1" s="1"/>
  <c r="P48" i="1"/>
  <c r="Q48" i="1" s="1"/>
  <c r="P72" i="1"/>
  <c r="Q72" i="1" s="1"/>
  <c r="P84" i="1"/>
  <c r="K78" i="2" s="1"/>
  <c r="P37" i="1"/>
  <c r="Q37" i="1" s="1"/>
  <c r="P61" i="1"/>
  <c r="K55" i="2" s="1"/>
  <c r="P73" i="1"/>
  <c r="K67" i="2" s="1"/>
  <c r="P85" i="1"/>
  <c r="K79" i="2" s="1"/>
  <c r="P27" i="1"/>
  <c r="Q27" i="1" s="1"/>
  <c r="P39" i="1"/>
  <c r="K33" i="2" s="1"/>
  <c r="P51" i="1"/>
  <c r="Q51" i="1" s="1"/>
  <c r="P63" i="1"/>
  <c r="Q63" i="1" s="1"/>
  <c r="P75" i="1"/>
  <c r="Q75" i="1" s="1"/>
  <c r="P87" i="1"/>
  <c r="Q87" i="1" s="1"/>
  <c r="P45" i="1"/>
  <c r="Q45" i="1" s="1"/>
  <c r="P57" i="1"/>
  <c r="K51" i="2" s="1"/>
  <c r="P69" i="1"/>
  <c r="K63" i="2" s="1"/>
  <c r="P81" i="1"/>
  <c r="K75" i="2" s="1"/>
  <c r="P93" i="1"/>
  <c r="Q93" i="1" s="1"/>
  <c r="P22" i="1"/>
  <c r="K16" i="2" s="1"/>
  <c r="P46" i="1"/>
  <c r="Q46" i="1" s="1"/>
  <c r="P58" i="1"/>
  <c r="Q58" i="1" s="1"/>
  <c r="P70" i="1"/>
  <c r="K64" i="2" s="1"/>
  <c r="P82" i="1"/>
  <c r="K76" i="2" s="1"/>
  <c r="P94" i="1"/>
  <c r="Q94" i="1" s="1"/>
  <c r="P23" i="1"/>
  <c r="K17" i="2" s="1"/>
  <c r="P47" i="1"/>
  <c r="Q47" i="1" s="1"/>
  <c r="P59" i="1"/>
  <c r="Q59" i="1" s="1"/>
  <c r="P71" i="1"/>
  <c r="Q71" i="1" s="1"/>
  <c r="P83" i="1"/>
  <c r="Q83" i="1" s="1"/>
  <c r="P29" i="1"/>
  <c r="Q29" i="1" s="1"/>
  <c r="G17" i="5"/>
  <c r="G16" i="5"/>
  <c r="G15" i="5"/>
  <c r="G18" i="5"/>
  <c r="H2" i="1"/>
  <c r="F5" i="1"/>
  <c r="F6" i="5" s="1"/>
  <c r="F4" i="1"/>
  <c r="F3" i="1"/>
  <c r="B29" i="5" l="1" a="1"/>
  <c r="B29" i="5" s="1"/>
  <c r="G20" i="5"/>
  <c r="K36" i="2"/>
  <c r="K52" i="2"/>
  <c r="Q85" i="1"/>
  <c r="K40" i="2"/>
  <c r="K48" i="2"/>
  <c r="K22" i="2"/>
  <c r="K38" i="2"/>
  <c r="Q73" i="1"/>
  <c r="K87" i="2"/>
  <c r="K39" i="2"/>
  <c r="Q84" i="1"/>
  <c r="K66" i="2"/>
  <c r="K12" i="2"/>
  <c r="K84" i="2"/>
  <c r="Q91" i="1"/>
  <c r="Q88" i="1"/>
  <c r="K69" i="2"/>
  <c r="K21" i="2"/>
  <c r="K88" i="2"/>
  <c r="Q41" i="1"/>
  <c r="Q86" i="1"/>
  <c r="K41" i="2"/>
  <c r="K37" i="2"/>
  <c r="Q40" i="1"/>
  <c r="K54" i="2"/>
  <c r="K86" i="2"/>
  <c r="Q49" i="1"/>
  <c r="Q38" i="1"/>
  <c r="K81" i="2"/>
  <c r="Q22" i="1"/>
  <c r="K83" i="2"/>
  <c r="K42" i="2"/>
  <c r="K77" i="2"/>
  <c r="K68" i="2"/>
  <c r="Q65" i="1"/>
  <c r="K45" i="2"/>
  <c r="K57" i="2"/>
  <c r="K62" i="2"/>
  <c r="K71" i="2"/>
  <c r="Q70" i="1"/>
  <c r="K53" i="2"/>
  <c r="Q57" i="1"/>
  <c r="Q39" i="1"/>
  <c r="Q56" i="1"/>
  <c r="K49" i="2"/>
  <c r="Q53" i="1"/>
  <c r="Q52" i="1"/>
  <c r="Q50" i="1"/>
  <c r="K14" i="2"/>
  <c r="K61" i="2"/>
  <c r="Q23" i="1"/>
  <c r="Q81" i="1"/>
  <c r="Q61" i="1"/>
  <c r="Q80" i="1"/>
  <c r="Q79" i="1"/>
  <c r="Q76" i="1"/>
  <c r="K31" i="2"/>
  <c r="K65" i="2"/>
  <c r="Q69" i="1"/>
  <c r="Q66" i="1"/>
  <c r="Q64" i="1"/>
  <c r="K56" i="2"/>
  <c r="K72" i="2"/>
  <c r="K10" i="2"/>
  <c r="K11" i="2"/>
  <c r="Q82" i="1"/>
  <c r="K23" i="2"/>
  <c r="N9" i="2"/>
  <c r="D19" i="5" s="1"/>
  <c r="E19" i="5" s="1"/>
  <c r="N8" i="2"/>
  <c r="C24" i="5" a="1"/>
  <c r="C24" i="5" s="1"/>
  <c r="Q26" i="1"/>
  <c r="K26" i="2"/>
  <c r="K27" i="2"/>
  <c r="Q31" i="1"/>
  <c r="Q35" i="1"/>
  <c r="K28" i="2"/>
  <c r="K24" i="2"/>
  <c r="K30" i="2"/>
  <c r="K18" i="2"/>
  <c r="K19" i="2"/>
  <c r="Q14" i="1"/>
  <c r="Q15" i="1"/>
  <c r="K6" i="2"/>
  <c r="Q13" i="1"/>
  <c r="K15" i="2"/>
  <c r="N5" i="2"/>
  <c r="N7" i="2"/>
  <c r="Q11" i="1"/>
  <c r="K5" i="2"/>
  <c r="N6" i="2"/>
  <c r="F5" i="5"/>
  <c r="D24" i="5" l="1"/>
  <c r="N11" i="2"/>
  <c r="D17" i="5"/>
  <c r="D15" i="5"/>
  <c r="D18" i="5" l="1"/>
  <c r="D16" i="5"/>
  <c r="D20" i="5"/>
  <c r="N12" i="2" l="1"/>
  <c r="J14" i="5" s="1"/>
  <c r="N13" i="2"/>
  <c r="J16" i="5" s="1"/>
  <c r="N15" i="2" l="1"/>
  <c r="I19" i="5" s="1"/>
  <c r="J18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<sst xmlns="http://schemas.openxmlformats.org/spreadsheetml/2006/main" count="520" uniqueCount="348">
  <si>
    <t>INSTALACIÓN</t>
  </si>
  <si>
    <t>APARATOS
ELEVADORES</t>
  </si>
  <si>
    <t>1.1</t>
  </si>
  <si>
    <t>1.2</t>
  </si>
  <si>
    <t>Góndolas</t>
  </si>
  <si>
    <t>Revision</t>
  </si>
  <si>
    <t>Trimestral</t>
  </si>
  <si>
    <t>ELECTRICIDAD</t>
  </si>
  <si>
    <t>2.1</t>
  </si>
  <si>
    <t>Alta Tensión</t>
  </si>
  <si>
    <t>2.2</t>
  </si>
  <si>
    <t>Baja Tensión</t>
  </si>
  <si>
    <t>Informe termografico</t>
  </si>
  <si>
    <t>PARARRAYOS</t>
  </si>
  <si>
    <t>Pararrayos</t>
  </si>
  <si>
    <t>Revision fav.</t>
  </si>
  <si>
    <t>PCI</t>
  </si>
  <si>
    <t>4.1</t>
  </si>
  <si>
    <t>4.2</t>
  </si>
  <si>
    <t>4.3</t>
  </si>
  <si>
    <t>LEGIONELLA Y POTABILIDAD</t>
  </si>
  <si>
    <t>5.1</t>
  </si>
  <si>
    <t>5.2</t>
  </si>
  <si>
    <t>5.3</t>
  </si>
  <si>
    <t>Analiticas</t>
  </si>
  <si>
    <t>5.4</t>
  </si>
  <si>
    <t>Cert. L+D</t>
  </si>
  <si>
    <t>FONTANERÍA</t>
  </si>
  <si>
    <t>7.1</t>
  </si>
  <si>
    <t>7.2</t>
  </si>
  <si>
    <t>7.3</t>
  </si>
  <si>
    <t>7.4</t>
  </si>
  <si>
    <t>7.5</t>
  </si>
  <si>
    <t>7.6</t>
  </si>
  <si>
    <t>GAS</t>
  </si>
  <si>
    <t>Cert. Favorable de rev.</t>
  </si>
  <si>
    <t>Grupo Electrógeno</t>
  </si>
  <si>
    <t>SAIs</t>
  </si>
  <si>
    <t>Parte de trabajo</t>
  </si>
  <si>
    <t>BMS</t>
  </si>
  <si>
    <t>ITE</t>
  </si>
  <si>
    <t>Megafonia</t>
  </si>
  <si>
    <t>Z. infantiles</t>
  </si>
  <si>
    <t>Inst. Fotovoltaica</t>
  </si>
  <si>
    <t>CCTV</t>
  </si>
  <si>
    <t>PAU</t>
  </si>
  <si>
    <t>Ascens. y Montac.</t>
  </si>
  <si>
    <t>Inst. fontanería y G. Presión</t>
  </si>
  <si>
    <t xml:space="preserve">Puertas man. y aut.                                 </t>
  </si>
  <si>
    <t>Ult. Rev.</t>
  </si>
  <si>
    <t>Prox. Rev.</t>
  </si>
  <si>
    <t>Empresa</t>
  </si>
  <si>
    <t>Periodicidad</t>
  </si>
  <si>
    <t>Semestral</t>
  </si>
  <si>
    <t>Diario</t>
  </si>
  <si>
    <t>Mensual</t>
  </si>
  <si>
    <t>LA VEGA</t>
  </si>
  <si>
    <t>LVE</t>
  </si>
  <si>
    <t>ID</t>
  </si>
  <si>
    <t>RD 842/2002</t>
  </si>
  <si>
    <t>RD 88/2003</t>
  </si>
  <si>
    <t>ESTADO</t>
  </si>
  <si>
    <t>THE OUTLET STORE</t>
  </si>
  <si>
    <t>TOS</t>
  </si>
  <si>
    <t>PLAZA NUEVA</t>
  </si>
  <si>
    <t>PLN</t>
  </si>
  <si>
    <t>LUZ DE CASTILLA</t>
  </si>
  <si>
    <t>LDC</t>
  </si>
  <si>
    <t>LA NORIA</t>
  </si>
  <si>
    <t>LNO</t>
  </si>
  <si>
    <t>TUDELA</t>
  </si>
  <si>
    <t>TUD</t>
  </si>
  <si>
    <t>TRES AGUAS</t>
  </si>
  <si>
    <t>TAG</t>
  </si>
  <si>
    <t>PLAZA EBOLI</t>
  </si>
  <si>
    <t>PLE</t>
  </si>
  <si>
    <t>MNO</t>
  </si>
  <si>
    <t>RD 3275/82</t>
  </si>
  <si>
    <t xml:space="preserve"> RD 1942/1993</t>
  </si>
  <si>
    <t>Acta Emp. Mant.</t>
  </si>
  <si>
    <t>-</t>
  </si>
  <si>
    <t>Revision Botella</t>
  </si>
  <si>
    <t>Revision equipo</t>
  </si>
  <si>
    <t>Analiticas Legionela</t>
  </si>
  <si>
    <t>OCA</t>
  </si>
  <si>
    <t>Analiticas Aerobios</t>
  </si>
  <si>
    <t>Analiticas FQ</t>
  </si>
  <si>
    <t>G. ELECTROGENO</t>
  </si>
  <si>
    <t>L. VIDA Y ANCLAJES</t>
  </si>
  <si>
    <t>PUERTAS AUT.</t>
  </si>
  <si>
    <t>OCA  (P util&gt;12 kW)</t>
  </si>
  <si>
    <t>OCA (20≤P util≤70 kW)</t>
  </si>
  <si>
    <t>OCA (P util&gt;70 kW) gases</t>
  </si>
  <si>
    <t>OCA (P util&gt;70 kW) otras</t>
  </si>
  <si>
    <t>OCA (P&gt;70 kW)</t>
  </si>
  <si>
    <t>RD  1468/2008</t>
  </si>
  <si>
    <t>CAE</t>
  </si>
  <si>
    <t>Revision si &gt;30 años</t>
  </si>
  <si>
    <t>OCA Enterrados Vacios</t>
  </si>
  <si>
    <t>OCA Enterrados Lleno</t>
  </si>
  <si>
    <t>OCA Superficie Proy.</t>
  </si>
  <si>
    <t>OCA Superficie Sin Proy.</t>
  </si>
  <si>
    <t>OCA Estanq. Tuberias</t>
  </si>
  <si>
    <t>OCA Conjunto</t>
  </si>
  <si>
    <t>Eval. de RIESGOS</t>
  </si>
  <si>
    <t>DDD</t>
  </si>
  <si>
    <t>16.1</t>
  </si>
  <si>
    <t>16.2</t>
  </si>
  <si>
    <t>16.3</t>
  </si>
  <si>
    <t>RD 1523/99 - ITC MI IP-03. Capitulo X. Revisiones e inspecciones (pag 24)</t>
  </si>
  <si>
    <t>REBT. ITC BT 52</t>
  </si>
  <si>
    <t>(CTE y UNE-EN
12635:2002+A1:2009)</t>
  </si>
  <si>
    <t xml:space="preserve"> (UNE-EN 365:2005 - Equipos proteccion individual contra las caidas de altura)</t>
  </si>
  <si>
    <t>RD 984/2015</t>
  </si>
  <si>
    <t xml:space="preserve"> (RD 238/2013 - RITE - Norma 171330-2:2008 de Calidad de ambientes Interiores)</t>
  </si>
  <si>
    <t>RD 865/2003 - Articulo 8. Programas de mantenimiento en las instalaciones (pag 4-5) y Artiulo 2.2. Clasificación de instalaciones</t>
  </si>
  <si>
    <t xml:space="preserve"> (RD140/2003 - Criterios sanitarios de la calidad del agua de consumo humano) - Anexo 5. Numero minimo de muestras para las aguas de consumo humano sumnistradas a a traves de una red de distribución (pag 32)</t>
  </si>
  <si>
    <t>CTE</t>
  </si>
  <si>
    <t>(RD516/2017 - Reglamento de instalaciones de protección contra incendios)</t>
  </si>
  <si>
    <t>EVALUACION TECNICO LEGAL DEL CENTRO</t>
  </si>
  <si>
    <t>Nombre</t>
  </si>
  <si>
    <t>Direccion</t>
  </si>
  <si>
    <t>Desf.</t>
  </si>
  <si>
    <t>Pte.</t>
  </si>
  <si>
    <t>Cond.</t>
  </si>
  <si>
    <t>Fav.</t>
  </si>
  <si>
    <t>Gerente</t>
  </si>
  <si>
    <t>Fecha</t>
  </si>
  <si>
    <t xml:space="preserve"> (RD 2267/2004 - Reglamento de Seguridad Contra Incendios en los Establecimientos Industriales)</t>
  </si>
  <si>
    <t>(RD 337/2014 - Reglamento sobre condiciones técnicas y garantías de seguridad en instalación eléctricas de AT - ITC RAT-23 "Verificaciones e Inspecciones")</t>
  </si>
  <si>
    <t>(RD1215/97 y RD 2177/04 Disposiciones minimas de seguridad y salud en equipos de trabajo)</t>
  </si>
  <si>
    <t>RITE IT.4.3 Periodicidad de las inspección de eficiencia energética</t>
  </si>
  <si>
    <t>(RD 1027/2007 y RD 238/2013 - RITE)
RITE IT.3. Mantenimiento y uso (pag 107)</t>
  </si>
  <si>
    <t>NORMATIVA APLICADA</t>
  </si>
  <si>
    <t>Comentario</t>
  </si>
  <si>
    <t>Av. Olímpica, 9, Alcobendas, Madrid</t>
  </si>
  <si>
    <t>Andres Enciso</t>
  </si>
  <si>
    <t>Vicente Gomez</t>
  </si>
  <si>
    <t>Alexia Fernandez</t>
  </si>
  <si>
    <t>Monica Castro</t>
  </si>
  <si>
    <t>Maria Romero</t>
  </si>
  <si>
    <t>CENTRO</t>
  </si>
  <si>
    <t>RD 39/97</t>
  </si>
  <si>
    <t>Numero de celdas</t>
  </si>
  <si>
    <t>Punt. Maxima</t>
  </si>
  <si>
    <t>Punt Obtenida</t>
  </si>
  <si>
    <t>% OBTENIDO</t>
  </si>
  <si>
    <t>Salida 571, A7, Murcia</t>
  </si>
  <si>
    <t>Cl. Alicante, 94. S. Vicent del Raspeig, Alicante</t>
  </si>
  <si>
    <t>Bateria Condesnsadores</t>
  </si>
  <si>
    <t>2.3</t>
  </si>
  <si>
    <t>Retimbrado</t>
  </si>
  <si>
    <t>4.4</t>
  </si>
  <si>
    <t>BAHIA REAL</t>
  </si>
  <si>
    <t>Pedro Bermejo</t>
  </si>
  <si>
    <t>(RD 487/2022 Criterios higienico-sanitarios para la prevencion y control de la legionelosis)
Anexo 4. Mantenimiento de torres de refrigeración y condensadores evaporativos (pag 13)</t>
  </si>
  <si>
    <t>Norma UNE-EN 1176-7:1998 - Solo especifica y obligatoria para Andalucia y Galicia</t>
  </si>
  <si>
    <t>C/ Enrique Gran,2, Camargo Cantabria</t>
  </si>
  <si>
    <t>Avenida Puerta del Sol, 2, 28918 Leganés, Madrid.</t>
  </si>
  <si>
    <t>Poligono Industrial El Cerro, 40006 Segovia</t>
  </si>
  <si>
    <t>Carr. Zaragoza, s/n, 31500 Tudela, Navarra</t>
  </si>
  <si>
    <t>46960 Aldaia, Valencia</t>
  </si>
  <si>
    <t>Av. San Martín de Valdeiglesias, 20, 28922 Alcorcón, Madrid</t>
  </si>
  <si>
    <t>C. Pablo Picasso, s/n, 28320 Pinto, Madrid</t>
  </si>
  <si>
    <t>C. Jaén, 1, 29004 Málaga</t>
  </si>
  <si>
    <t>Av. los Peregrinos, 8-10, 24008 León</t>
  </si>
  <si>
    <t>WAY DOS HERMANAS</t>
  </si>
  <si>
    <t>Carmen Aranda</t>
  </si>
  <si>
    <t>Manuel Sevillano</t>
  </si>
  <si>
    <t>WAY</t>
  </si>
  <si>
    <t>ARAGONIA</t>
  </si>
  <si>
    <t>Ana Alcoya</t>
  </si>
  <si>
    <t>ARG</t>
  </si>
  <si>
    <t>Av. de Juan Carlos I, 44, 50009 Zaragoza</t>
  </si>
  <si>
    <t>German Lopez</t>
  </si>
  <si>
    <t>Cert. Eficiencia Energ.</t>
  </si>
  <si>
    <t>Nª</t>
  </si>
  <si>
    <t xml:space="preserve">Simulacro </t>
  </si>
  <si>
    <t>4.5</t>
  </si>
  <si>
    <t>ABC SERRANO</t>
  </si>
  <si>
    <t>ABC</t>
  </si>
  <si>
    <t>Javier Alvarez</t>
  </si>
  <si>
    <t xml:space="preserve"> C/ Serrano 61, Madrid</t>
  </si>
  <si>
    <t>Escaleras mec. / Travelators</t>
  </si>
  <si>
    <t>1.3</t>
  </si>
  <si>
    <t>Renovacion</t>
  </si>
  <si>
    <t>Actuacion</t>
  </si>
  <si>
    <t>PCI. Ext., Det. y alar. Hid.</t>
  </si>
  <si>
    <t xml:space="preserve">PCI. Inspección en est.ind. </t>
  </si>
  <si>
    <t>PCI. Extintores</t>
  </si>
  <si>
    <t>PCI. Ilum. Emergencia y carteleria</t>
  </si>
  <si>
    <t>PCI. Eq. Resp. Aut. (ERA)</t>
  </si>
  <si>
    <t xml:space="preserve">LEGIONELA. Inst. AFCH y ACS </t>
  </si>
  <si>
    <t>LEGIONELA. Fte ornamental</t>
  </si>
  <si>
    <t xml:space="preserve">LEGIONELA. Inst. PCI </t>
  </si>
  <si>
    <t>LEGIONELA. P. terminales (Pot.)</t>
  </si>
  <si>
    <t>LEGIONELA. T. Refrig. y cond. Evap.</t>
  </si>
  <si>
    <t>CLIMA. Calef. y Agua caliente</t>
  </si>
  <si>
    <t>CLIMA. Sistemas A.A.</t>
  </si>
  <si>
    <t>CLIMA. Inst. Energ. A.A.</t>
  </si>
  <si>
    <t xml:space="preserve">CLIMA. Inst. Energ. Calef. y ACS </t>
  </si>
  <si>
    <t>CLIMA. CAI Clim. y cond.</t>
  </si>
  <si>
    <t>CLIMA. Inst. Termica Completa</t>
  </si>
  <si>
    <t xml:space="preserve">GAS. Inst. receptora de gas </t>
  </si>
  <si>
    <t>L. Vida y Anclajes</t>
  </si>
  <si>
    <t xml:space="preserve">BMS. Instalación de control </t>
  </si>
  <si>
    <t>ITE. Estruct., fachada, saneamiento</t>
  </si>
  <si>
    <t>DEP. PETROLIEFERS. (sup. y ent.)</t>
  </si>
  <si>
    <t>Carg. Electricos</t>
  </si>
  <si>
    <t>(RD 1027/2007 y RD 238/2013 - RITE) (</t>
  </si>
  <si>
    <t xml:space="preserve">RD 1027/2007 </t>
  </si>
  <si>
    <t>Revision S1</t>
  </si>
  <si>
    <t>Revision S2</t>
  </si>
  <si>
    <t>Actualizacion</t>
  </si>
  <si>
    <t>Tipo</t>
  </si>
  <si>
    <t>OAS</t>
  </si>
  <si>
    <t>OASIZ</t>
  </si>
  <si>
    <t>Eurofound</t>
  </si>
  <si>
    <t>DEH</t>
  </si>
  <si>
    <t>LA DEHESA</t>
  </si>
  <si>
    <t>Altixia</t>
  </si>
  <si>
    <t>Serrano61</t>
  </si>
  <si>
    <t>Zaragoza Urbana</t>
  </si>
  <si>
    <t>BHR</t>
  </si>
  <si>
    <t>ECF Santander</t>
  </si>
  <si>
    <t>CRE</t>
  </si>
  <si>
    <t>CAMINO REAL</t>
  </si>
  <si>
    <t>Aliseda</t>
  </si>
  <si>
    <t>EDM</t>
  </si>
  <si>
    <t>EDIFICIO MUNDO</t>
  </si>
  <si>
    <t>CCPP Edificio Mundo</t>
  </si>
  <si>
    <t>Unifor</t>
  </si>
  <si>
    <t>Eroski</t>
  </si>
  <si>
    <t>Realia</t>
  </si>
  <si>
    <t>Capfield</t>
  </si>
  <si>
    <t>CCPP MNO</t>
  </si>
  <si>
    <t>MDC</t>
  </si>
  <si>
    <t>MERCADO DE CAMPANAR</t>
  </si>
  <si>
    <t>MDSR</t>
  </si>
  <si>
    <t>HIG</t>
  </si>
  <si>
    <t>Tosa</t>
  </si>
  <si>
    <t>Paseo Comercial</t>
  </si>
  <si>
    <t>Kronos</t>
  </si>
  <si>
    <t>REA</t>
  </si>
  <si>
    <t>REALTY</t>
  </si>
  <si>
    <t>Realty</t>
  </si>
  <si>
    <t>MAD</t>
  </si>
  <si>
    <t>MADNUM</t>
  </si>
  <si>
    <t>Inmobiliaria Colonial</t>
  </si>
  <si>
    <t>TUS</t>
  </si>
  <si>
    <t>TUSIA</t>
  </si>
  <si>
    <t>Laura Gil</t>
  </si>
  <si>
    <t>Fernando Bravo</t>
  </si>
  <si>
    <t>Esther Santos</t>
  </si>
  <si>
    <t>Gustavo Pines</t>
  </si>
  <si>
    <t>Propiedad</t>
  </si>
  <si>
    <t>Inserte aquí el logo de su centro</t>
  </si>
  <si>
    <t>MALAGA OCIO</t>
  </si>
  <si>
    <t>MALAGA FACTORY</t>
  </si>
  <si>
    <t>MFC</t>
  </si>
  <si>
    <t>SESTAO</t>
  </si>
  <si>
    <t>SES</t>
  </si>
  <si>
    <t>CALAHORRA</t>
  </si>
  <si>
    <t>CAL</t>
  </si>
  <si>
    <t>IRUÑA</t>
  </si>
  <si>
    <t>IRU</t>
  </si>
  <si>
    <t>Av. Premios Nobel, 5, 28850 Torrejón de Ardoz, Madrid</t>
  </si>
  <si>
    <t>C. Humanes, 11, 28805 Alcalá de Henares, Madrid</t>
  </si>
  <si>
    <t>A-2, Km 16.5, 28830 San Fernando de Henares, Madrid</t>
  </si>
  <si>
    <t>Av. Juncal de Allende, Markonzaga, 48910 Sestao, Biscaya</t>
  </si>
  <si>
    <t>Av. de Tirso de Molina, 16, Campanar, 46015 València, Valencia</t>
  </si>
  <si>
    <t>inicial</t>
  </si>
  <si>
    <t>📊 DASHBOARD RESUMEN</t>
  </si>
  <si>
    <t>Total Items:</t>
  </si>
  <si>
    <t>📅 REVISIONES:</t>
  </si>
  <si>
    <t>Vencidas:</t>
  </si>
  <si>
    <t>Próx. 30d:</t>
  </si>
  <si>
    <t>Próx. 60d:</t>
  </si>
  <si>
    <t>Próx. 90d:</t>
  </si>
  <si>
    <t>RESULTADO:</t>
  </si>
  <si>
    <t>█████████</t>
  </si>
  <si>
    <t>En fecha</t>
  </si>
  <si>
    <t>Cumple en 90 dias</t>
  </si>
  <si>
    <t>Cumple en 60 dias</t>
  </si>
  <si>
    <t>Vencidas</t>
  </si>
  <si>
    <t>Leyenda</t>
  </si>
  <si>
    <t>📊 VISTA DINÁMICA - SOLO ITEMS CON ESTADO</t>
  </si>
  <si>
    <t>Nº</t>
  </si>
  <si>
    <t>CATEGORÍA</t>
  </si>
  <si>
    <t>ACTIVIDAD</t>
  </si>
  <si>
    <t>PRÓX. REV.</t>
  </si>
  <si>
    <t>COMENTARIO</t>
  </si>
  <si>
    <t>🔄 Esta vista se actualiza AUTOMÁTICAMENTE cuando cambias datos en la pestaña FICHA</t>
  </si>
  <si>
    <t>8ª AVENIDA</t>
  </si>
  <si>
    <t>8ªAV</t>
  </si>
  <si>
    <t>Castellana</t>
  </si>
  <si>
    <t>FORUMMADEIRA</t>
  </si>
  <si>
    <t>FOR</t>
  </si>
  <si>
    <t>LOURE SHOPPING</t>
  </si>
  <si>
    <t>LOU</t>
  </si>
  <si>
    <t>RIOSUL</t>
  </si>
  <si>
    <t>RIO</t>
  </si>
  <si>
    <t>NASAS NIGRAN</t>
  </si>
  <si>
    <t>NAS</t>
  </si>
  <si>
    <t>Parque emp. Porto do Molle, Rúa das Pontes, 2, 36350 Nigrán, Pontevedra</t>
  </si>
  <si>
    <t>Estrada Monumental 390, São Martinho, 9004-568 Funchal, Portugal</t>
  </si>
  <si>
    <t>Av. Libertadores de Timor Loro Sae, 2840-168 Seixal, Portugal</t>
  </si>
  <si>
    <t>Av. Descobertas 90, 2670-457 Loures, Portugal</t>
  </si>
  <si>
    <t>Av. Dr. Renato Araújo 1625, 3700-346 São João da Madeira, Portugal</t>
  </si>
  <si>
    <t>Punt. máx. posible</t>
  </si>
  <si>
    <t>Punt. obtenida</t>
  </si>
  <si>
    <t>EMPRESA</t>
  </si>
  <si>
    <t>SUBCÓD.</t>
  </si>
  <si>
    <t xml:space="preserve">
INST. PETROLÍFERAS</t>
  </si>
  <si>
    <t xml:space="preserve">
CLIMATIZACION</t>
  </si>
  <si>
    <t xml:space="preserve">
Carg. eléctricos</t>
  </si>
  <si>
    <t xml:space="preserve">  Apto</t>
  </si>
  <si>
    <t xml:space="preserve">  Cond.</t>
  </si>
  <si>
    <t xml:space="preserve">  No Apto</t>
  </si>
  <si>
    <t>Cumple en 30 dias</t>
  </si>
  <si>
    <t>CONDICIONADO</t>
  </si>
  <si>
    <t>PENDIENTE</t>
  </si>
  <si>
    <t>LEYENDA</t>
  </si>
  <si>
    <t>No APTO:          &lt; 70%</t>
  </si>
  <si>
    <t>Condicionado    70 % -  80 %</t>
  </si>
  <si>
    <t>APTO:                &gt; 80%</t>
  </si>
  <si>
    <t>ERROR</t>
  </si>
  <si>
    <t>Error</t>
  </si>
  <si>
    <t>Total Items sin errores:</t>
  </si>
  <si>
    <t>NIVEL</t>
  </si>
  <si>
    <t>FAVORABLE</t>
  </si>
  <si>
    <t>DESFAVORABLE</t>
  </si>
  <si>
    <t>CALIFICACION</t>
  </si>
  <si>
    <t>Valter Romão</t>
  </si>
  <si>
    <t>Sérgio Queirós</t>
  </si>
  <si>
    <t>Rita Paixão</t>
  </si>
  <si>
    <t>CALCULO</t>
  </si>
  <si>
    <t>Favorable</t>
  </si>
  <si>
    <t xml:space="preserve">Condicionado </t>
  </si>
  <si>
    <t>Desfavorable</t>
  </si>
  <si>
    <t>Pendiente</t>
  </si>
  <si>
    <t>Leyenda: PUNTUACION</t>
  </si>
  <si>
    <t>F. 2ª Rev..</t>
  </si>
  <si>
    <t>F. 2ª Insp.</t>
  </si>
  <si>
    <t>En fecha:</t>
  </si>
  <si>
    <t>SAV</t>
  </si>
  <si>
    <t>CLAVE DESBLOQUEO:</t>
  </si>
  <si>
    <t>Sustituir 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</si>
</sst>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]&quot;☑&quot;;[=0]&quot;☐&quot;;&quot;☐&quot;"/>
  </numFmts>
  <fonts count="66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20"/>
      <color theme="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2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rgb="FF000000"/>
      <name val="Aptos Narrow"/>
      <family val="2"/>
    </font>
    <font>
      <b/>
      <sz val="12"/>
      <color rgb="FFFFFFFF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9" tint="-0.249977111117893"/>
      <name val="Calibri Light"/>
      <family val="2"/>
      <scheme val="major"/>
    </font>
    <font>
      <sz val="10"/>
      <color rgb="FFFF9B9B"/>
      <name val="Calibri Light"/>
      <family val="2"/>
      <scheme val="major"/>
    </font>
    <font>
      <b/>
      <sz val="14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sz val="12"/>
      <name val="Calibri Light"/>
      <family val="2"/>
      <scheme val="major"/>
    </font>
    <font>
      <sz val="10"/>
      <color theme="9" tint="0.39997558519241921"/>
      <name val="Calibri Light"/>
      <family val="2"/>
      <scheme val="major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9"/>
      <color rgb="FF7030A0"/>
      <name val="Arial"/>
      <family val="2"/>
    </font>
    <font>
      <sz val="9"/>
      <color theme="5" tint="-0.249977111117893"/>
      <name val="Arial"/>
      <family val="2"/>
    </font>
    <font>
      <sz val="9"/>
      <color theme="9" tint="-0.249977111117893"/>
      <name val="Arial"/>
      <family val="2"/>
    </font>
    <font>
      <sz val="9"/>
      <color theme="3"/>
      <name val="Arial"/>
      <family val="2"/>
    </font>
    <font>
      <sz val="9"/>
      <color theme="4"/>
      <name val="Arial"/>
      <family val="2"/>
    </font>
    <font>
      <sz val="10"/>
      <color rgb="FFDFEB95"/>
      <name val="Calibri Light"/>
      <family val="2"/>
      <scheme val="major"/>
    </font>
    <font>
      <sz val="11"/>
      <color rgb="FFC000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rgb="FFC00000"/>
      <name val="Arial"/>
      <family val="2"/>
    </font>
    <font>
      <sz val="11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color rgb="FF00B050"/>
      <name val="Calibri Light"/>
      <family val="2"/>
      <scheme val="major"/>
    </font>
    <font>
      <b/>
      <sz val="10"/>
      <color theme="7" tint="-0.499984740745262"/>
      <name val="Calibri Light"/>
      <family val="2"/>
      <scheme val="major"/>
    </font>
    <font>
      <b/>
      <sz val="10"/>
      <color rgb="FFC00000"/>
      <name val="Calibri Light"/>
      <family val="2"/>
      <scheme val="major"/>
    </font>
    <font>
      <b/>
      <sz val="10"/>
      <color theme="7" tint="-0.249977111117893"/>
      <name val="Calibri Light"/>
      <family val="2"/>
      <scheme val="major"/>
    </font>
    <font>
      <sz val="9"/>
      <color rgb="FF006100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9C0006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22"/>
      <color rgb="FF1F4E79"/>
      <name val="Calibri"/>
      <family val="2"/>
      <scheme val="minor"/>
    </font>
    <font>
      <sz val="1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0F8A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1" fillId="0" borderId="0" xfId="0" applyFont="1"/>
    <xf numFmtId="0" fontId="3" fillId="0" borderId="0" xfId="0" applyFont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/>
    <xf numFmtId="0" fontId="0" fillId="0" borderId="0" xfId="0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center" wrapText="1"/>
    </xf>
    <xf numFmtId="0" fontId="0" fillId="9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23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4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0" xfId="0" applyAlignment="1">
      <alignment vertical="center"/>
    </xf>
    <xf numFmtId="0" fontId="0" fillId="0" borderId="28" xfId="0" applyBorder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9" xfId="0" applyBorder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4" fontId="5" fillId="2" borderId="22" xfId="0" applyNumberFormat="1" applyFont="1" applyFill="1" applyBorder="1" applyAlignment="1">
      <alignment horizontal="center" vertical="center" wrapText="1"/>
    </xf>
    <xf numFmtId="0" fontId="13" fillId="11" borderId="26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4" fontId="25" fillId="14" borderId="32" xfId="0" applyNumberFormat="1" applyFont="1" applyFill="1" applyBorder="1" applyAlignment="1">
      <alignment horizontal="center" vertical="center" wrapText="1"/>
    </xf>
    <xf numFmtId="14" fontId="25" fillId="14" borderId="35" xfId="0" applyNumberFormat="1" applyFont="1" applyFill="1" applyBorder="1" applyAlignment="1">
      <alignment horizontal="center" vertical="center" wrapText="1"/>
    </xf>
    <xf numFmtId="14" fontId="25" fillId="14" borderId="34" xfId="0" applyNumberFormat="1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14" fontId="25" fillId="0" borderId="32" xfId="0" applyNumberFormat="1" applyFont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31" fillId="2" borderId="31" xfId="0" applyFont="1" applyFill="1" applyBorder="1" applyAlignment="1">
      <alignment horizontal="center" vertical="center" wrapText="1"/>
    </xf>
    <xf numFmtId="0" fontId="31" fillId="2" borderId="32" xfId="0" applyFont="1" applyFill="1" applyBorder="1" applyAlignment="1">
      <alignment horizontal="center" vertical="center" wrapText="1"/>
    </xf>
    <xf numFmtId="0" fontId="32" fillId="2" borderId="32" xfId="0" applyFont="1" applyFill="1" applyBorder="1" applyAlignment="1">
      <alignment horizontal="center" vertical="center" wrapText="1"/>
    </xf>
    <xf numFmtId="0" fontId="31" fillId="3" borderId="31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 wrapText="1"/>
    </xf>
    <xf numFmtId="0" fontId="32" fillId="3" borderId="32" xfId="0" applyFont="1" applyFill="1" applyBorder="1" applyAlignment="1">
      <alignment horizontal="center" vertical="center" wrapText="1"/>
    </xf>
    <xf numFmtId="0" fontId="33" fillId="3" borderId="32" xfId="0" applyFont="1" applyFill="1" applyBorder="1" applyAlignment="1">
      <alignment horizontal="center" vertical="center" wrapText="1"/>
    </xf>
    <xf numFmtId="0" fontId="31" fillId="2" borderId="33" xfId="0" applyFont="1" applyFill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 wrapText="1"/>
    </xf>
    <xf numFmtId="0" fontId="32" fillId="2" borderId="33" xfId="0" applyFont="1" applyFill="1" applyBorder="1" applyAlignment="1">
      <alignment horizontal="center" vertical="center" wrapText="1"/>
    </xf>
    <xf numFmtId="0" fontId="32" fillId="3" borderId="33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left" vertical="center" wrapText="1"/>
    </xf>
    <xf numFmtId="0" fontId="31" fillId="2" borderId="32" xfId="0" applyFont="1" applyFill="1" applyBorder="1" applyAlignment="1">
      <alignment horizontal="left" vertical="center" wrapText="1"/>
    </xf>
    <xf numFmtId="0" fontId="34" fillId="3" borderId="33" xfId="0" applyFont="1" applyFill="1" applyBorder="1" applyAlignment="1">
      <alignment horizontal="center" vertical="center" wrapText="1"/>
    </xf>
    <xf numFmtId="0" fontId="35" fillId="2" borderId="32" xfId="0" applyFont="1" applyFill="1" applyBorder="1" applyAlignment="1">
      <alignment horizontal="center" vertical="center" wrapText="1"/>
    </xf>
    <xf numFmtId="0" fontId="35" fillId="3" borderId="32" xfId="0" applyFont="1" applyFill="1" applyBorder="1" applyAlignment="1">
      <alignment horizontal="center" vertical="center" wrapText="1"/>
    </xf>
    <xf numFmtId="0" fontId="36" fillId="3" borderId="32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vertical="center" wrapText="1"/>
    </xf>
    <xf numFmtId="0" fontId="31" fillId="2" borderId="32" xfId="0" applyFont="1" applyFill="1" applyBorder="1" applyAlignment="1">
      <alignment vertical="center" wrapText="1"/>
    </xf>
    <xf numFmtId="0" fontId="37" fillId="2" borderId="32" xfId="0" applyFont="1" applyFill="1" applyBorder="1" applyAlignment="1">
      <alignment horizontal="center" vertical="center" wrapText="1"/>
    </xf>
    <xf numFmtId="0" fontId="38" fillId="2" borderId="32" xfId="0" applyFont="1" applyFill="1" applyBorder="1" applyAlignment="1">
      <alignment horizontal="center" vertical="center" wrapText="1"/>
    </xf>
    <xf numFmtId="0" fontId="39" fillId="2" borderId="32" xfId="0" applyFont="1" applyFill="1" applyBorder="1" applyAlignment="1">
      <alignment horizontal="center" vertical="center" wrapText="1"/>
    </xf>
    <xf numFmtId="0" fontId="39" fillId="3" borderId="32" xfId="0" applyFont="1" applyFill="1" applyBorder="1" applyAlignment="1">
      <alignment horizontal="center" vertical="center" wrapText="1"/>
    </xf>
    <xf numFmtId="0" fontId="40" fillId="3" borderId="32" xfId="0" applyFont="1" applyFill="1" applyBorder="1" applyAlignment="1">
      <alignment horizontal="center" vertical="center" wrapText="1"/>
    </xf>
    <xf numFmtId="0" fontId="35" fillId="2" borderId="32" xfId="0" applyFont="1" applyFill="1" applyBorder="1" applyAlignment="1">
      <alignment horizontal="center" wrapText="1"/>
    </xf>
    <xf numFmtId="0" fontId="35" fillId="3" borderId="32" xfId="0" applyFont="1" applyFill="1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0" fontId="18" fillId="16" borderId="38" xfId="0" applyFont="1" applyFill="1" applyBorder="1" applyAlignment="1">
      <alignment horizontal="center" vertical="center"/>
    </xf>
    <xf numFmtId="0" fontId="18" fillId="16" borderId="39" xfId="0" applyFont="1" applyFill="1" applyBorder="1" applyAlignment="1">
      <alignment horizontal="center" vertical="center"/>
    </xf>
    <xf numFmtId="0" fontId="18" fillId="16" borderId="40" xfId="0" applyFont="1" applyFill="1" applyBorder="1" applyAlignment="1">
      <alignment horizontal="center" vertical="center"/>
    </xf>
    <xf numFmtId="0" fontId="18" fillId="16" borderId="41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43" fillId="19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7" fillId="6" borderId="10" xfId="0" applyFont="1" applyFill="1" applyBorder="1" applyAlignment="1">
      <alignment horizontal="left" wrapText="1"/>
    </xf>
    <xf numFmtId="0" fontId="7" fillId="6" borderId="3" xfId="0" applyFont="1" applyFill="1" applyBorder="1" applyAlignment="1">
      <alignment horizontal="left" wrapText="1"/>
    </xf>
    <xf numFmtId="0" fontId="0" fillId="0" borderId="25" xfId="0" applyBorder="1" applyAlignment="1">
      <alignment horizontal="left"/>
    </xf>
    <xf numFmtId="0" fontId="47" fillId="0" borderId="24" xfId="0" applyFont="1" applyBorder="1"/>
    <xf numFmtId="0" fontId="17" fillId="0" borderId="25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1" xfId="0" applyFont="1" applyBorder="1" applyAlignment="1">
      <alignment horizontal="center" vertical="center"/>
    </xf>
    <xf numFmtId="0" fontId="42" fillId="9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7" fillId="9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" fillId="2" borderId="42" xfId="0" applyFont="1" applyFill="1" applyBorder="1" applyAlignment="1">
      <alignment horizontal="center" wrapText="1"/>
    </xf>
    <xf numFmtId="0" fontId="52" fillId="23" borderId="17" xfId="0" applyFont="1" applyFill="1" applyBorder="1" applyAlignment="1">
      <alignment horizontal="center" vertical="center"/>
    </xf>
    <xf numFmtId="0" fontId="51" fillId="14" borderId="11" xfId="0" applyFont="1" applyFill="1" applyBorder="1" applyAlignment="1">
      <alignment horizontal="center" vertical="center"/>
    </xf>
    <xf numFmtId="0" fontId="53" fillId="22" borderId="17" xfId="0" applyFont="1" applyFill="1" applyBorder="1" applyAlignment="1">
      <alignment horizontal="center" vertical="center"/>
    </xf>
    <xf numFmtId="0" fontId="54" fillId="24" borderId="20" xfId="0" applyFont="1" applyFill="1" applyBorder="1" applyAlignment="1">
      <alignment horizontal="center" vertical="center"/>
    </xf>
    <xf numFmtId="0" fontId="51" fillId="14" borderId="12" xfId="0" applyFont="1" applyFill="1" applyBorder="1" applyAlignment="1">
      <alignment horizontal="center" vertical="center"/>
    </xf>
    <xf numFmtId="0" fontId="52" fillId="23" borderId="13" xfId="0" applyFont="1" applyFill="1" applyBorder="1" applyAlignment="1">
      <alignment horizontal="center" vertical="center"/>
    </xf>
    <xf numFmtId="0" fontId="53" fillId="22" borderId="13" xfId="0" applyFont="1" applyFill="1" applyBorder="1" applyAlignment="1">
      <alignment horizontal="center" vertical="center"/>
    </xf>
    <xf numFmtId="0" fontId="54" fillId="24" borderId="2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left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14" fontId="0" fillId="13" borderId="0" xfId="0" applyNumberFormat="1" applyFill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55" fillId="17" borderId="1" xfId="0" applyFont="1" applyFill="1" applyBorder="1" applyAlignment="1">
      <alignment horizontal="center" vertical="center"/>
    </xf>
    <xf numFmtId="0" fontId="56" fillId="18" borderId="1" xfId="0" applyFont="1" applyFill="1" applyBorder="1" applyAlignment="1">
      <alignment horizontal="center" vertical="center"/>
    </xf>
    <xf numFmtId="0" fontId="57" fillId="19" borderId="1" xfId="0" applyFont="1" applyFill="1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0" fontId="59" fillId="17" borderId="1" xfId="0" applyFont="1" applyFill="1" applyBorder="1" applyAlignment="1">
      <alignment horizontal="center" vertical="center"/>
    </xf>
    <xf numFmtId="0" fontId="61" fillId="19" borderId="1" xfId="0" applyFont="1" applyFill="1" applyBorder="1" applyAlignment="1">
      <alignment horizontal="center" vertical="center"/>
    </xf>
    <xf numFmtId="49" fontId="25" fillId="2" borderId="32" xfId="0" applyNumberFormat="1" applyFont="1" applyFill="1" applyBorder="1" applyAlignment="1" applyProtection="1">
      <alignment horizontal="center" vertical="center" wrapText="1"/>
      <protection locked="0"/>
    </xf>
    <xf numFmtId="14" fontId="25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35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34" xfId="0" applyNumberFormat="1" applyFont="1" applyFill="1" applyBorder="1" applyAlignment="1" applyProtection="1">
      <alignment horizontal="center" vertical="center" wrapText="1"/>
      <protection locked="0"/>
    </xf>
    <xf numFmtId="14" fontId="25" fillId="2" borderId="34" xfId="0" applyNumberFormat="1" applyFont="1" applyFill="1" applyBorder="1" applyAlignment="1" applyProtection="1">
      <alignment horizontal="center" vertical="center" wrapText="1"/>
      <protection locked="0"/>
    </xf>
    <xf numFmtId="14" fontId="26" fillId="2" borderId="34" xfId="0" applyNumberFormat="1" applyFont="1" applyFill="1" applyBorder="1" applyAlignment="1" applyProtection="1">
      <alignment horizontal="center" wrapText="1"/>
      <protection locked="0"/>
    </xf>
    <xf numFmtId="14" fontId="4" fillId="2" borderId="33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18" fillId="16" borderId="39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60" fillId="25" borderId="1" xfId="0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0" fontId="62" fillId="26" borderId="1" xfId="0" applyFont="1" applyFill="1" applyBorder="1" applyAlignment="1">
      <alignment horizontal="center"/>
    </xf>
    <xf numFmtId="0" fontId="63" fillId="26" borderId="1" xfId="0" applyFont="1" applyFill="1" applyBorder="1" applyAlignment="1">
      <alignment horizontal="center" vertical="center"/>
    </xf>
    <xf numFmtId="0" fontId="62" fillId="26" borderId="1" xfId="0" applyFont="1" applyFill="1" applyBorder="1" applyAlignment="1">
      <alignment horizontal="center" vertical="center"/>
    </xf>
    <xf numFmtId="164" fontId="29" fillId="2" borderId="32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29" fillId="2" borderId="35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29" fillId="2" borderId="34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9" borderId="1" xfId="0" applyFont="1" applyFill="1" applyBorder="1" applyAlignment="1">
      <alignment horizontal="center" vertical="center"/>
    </xf>
    <xf numFmtId="0" fontId="24" fillId="0" borderId="0" xfId="0" applyFont="1"/>
    <xf numFmtId="14" fontId="49" fillId="0" borderId="0" xfId="0" applyNumberFormat="1" applyFont="1" applyAlignment="1">
      <alignment horizontal="center" vertical="center"/>
    </xf>
    <xf numFmtId="14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4" fontId="1" fillId="2" borderId="3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4" xfId="0" applyNumberFormat="1" applyFont="1" applyFill="1" applyBorder="1" applyAlignment="1" applyProtection="1">
      <alignment horizontal="center" vertical="center" wrapText="1"/>
      <protection locked="0"/>
    </xf>
    <xf numFmtId="0" fontId="31" fillId="3" borderId="31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 wrapText="1"/>
    </xf>
    <xf numFmtId="0" fontId="31" fillId="2" borderId="31" xfId="0" applyFont="1" applyFill="1" applyBorder="1" applyAlignment="1">
      <alignment horizontal="center" vertical="center" wrapText="1"/>
    </xf>
    <xf numFmtId="0" fontId="31" fillId="2" borderId="3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11" borderId="36" xfId="0" applyFont="1" applyFill="1" applyBorder="1" applyAlignment="1">
      <alignment horizontal="center" textRotation="75"/>
    </xf>
    <xf numFmtId="0" fontId="13" fillId="11" borderId="37" xfId="0" applyFont="1" applyFill="1" applyBorder="1" applyAlignment="1">
      <alignment horizontal="center" textRotation="75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4" fontId="4" fillId="10" borderId="3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 applyProtection="1">
      <alignment horizontal="center" vertical="center" wrapText="1"/>
      <protection locked="0"/>
    </xf>
    <xf numFmtId="0" fontId="13" fillId="11" borderId="26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22" fillId="0" borderId="0" xfId="0" applyFont="1"/>
    <xf numFmtId="0" fontId="0" fillId="0" borderId="0" xfId="0"/>
    <xf numFmtId="0" fontId="21" fillId="20" borderId="26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4" fontId="7" fillId="6" borderId="10" xfId="0" applyNumberFormat="1" applyFont="1" applyFill="1" applyBorder="1" applyAlignment="1">
      <alignment horizontal="center" vertical="center" wrapText="1"/>
    </xf>
    <xf numFmtId="14" fontId="7" fillId="6" borderId="3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45" fillId="19" borderId="0" xfId="0" applyFont="1" applyFill="1" applyAlignment="1">
      <alignment horizontal="left" vertical="center"/>
    </xf>
    <xf numFmtId="0" fontId="45" fillId="19" borderId="24" xfId="0" applyFont="1" applyFill="1" applyBorder="1" applyAlignment="1">
      <alignment horizontal="left" vertical="center"/>
    </xf>
    <xf numFmtId="0" fontId="46" fillId="21" borderId="0" xfId="0" applyFont="1" applyFill="1" applyAlignment="1">
      <alignment horizontal="left" vertical="center"/>
    </xf>
    <xf numFmtId="0" fontId="46" fillId="21" borderId="24" xfId="0" applyFont="1" applyFill="1" applyBorder="1" applyAlignment="1">
      <alignment horizontal="left" vertical="center"/>
    </xf>
    <xf numFmtId="0" fontId="44" fillId="14" borderId="0" xfId="0" applyFont="1" applyFill="1" applyAlignment="1">
      <alignment horizontal="left" vertical="center"/>
    </xf>
    <xf numFmtId="0" fontId="44" fillId="14" borderId="24" xfId="0" applyFont="1" applyFill="1" applyBorder="1" applyAlignment="1">
      <alignment horizontal="left" vertical="center"/>
    </xf>
    <xf numFmtId="0" fontId="48" fillId="0" borderId="23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center"/>
    </xf>
    <xf numFmtId="0" fontId="0" fillId="27" borderId="7" xfId="0" applyFill="1" applyBorder="1" applyAlignment="1">
      <alignment horizontal="center"/>
    </xf>
    <xf numFmtId="0" fontId="0" fillId="27" borderId="8" xfId="0" applyFill="1" applyBorder="1" applyAlignment="1">
      <alignment horizontal="center"/>
    </xf>
    <xf numFmtId="0" fontId="0" fillId="27" borderId="9" xfId="0" applyFill="1" applyBorder="1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26" fillId="13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54">
    <dxf>
      <font>
        <color theme="0" tint="-4.9989318521683403E-2"/>
      </font>
      <fill>
        <patternFill patternType="solid">
          <fgColor indexed="64"/>
          <bgColor theme="9" tint="-0.24994659260841701"/>
        </patternFill>
      </fill>
    </dxf>
    <dxf>
      <fill>
        <patternFill patternType="solid">
          <fgColor indexed="64"/>
          <bgColor rgb="FFDFEB95"/>
        </patternFill>
      </fill>
    </dxf>
    <dxf>
      <font>
        <b/>
        <i val="0"/>
      </font>
      <fill>
        <patternFill patternType="solid">
          <fgColor indexed="64"/>
          <bgColor rgb="FFF6DFA0"/>
        </patternFill>
      </fill>
    </dxf>
    <dxf>
      <font>
        <b/>
        <i val="0"/>
        <color rgb="FFFFFFFF"/>
      </font>
      <fill>
        <patternFill patternType="solid">
          <fgColor indexed="64"/>
          <bgColor rgb="FFFF9393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7" tint="-0.24994659260841701"/>
      </font>
      <fill>
        <patternFill>
          <bgColor rgb="FFFFF4D5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C00000"/>
      </font>
      <fill>
        <patternFill>
          <bgColor rgb="FFFFDDDD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 patternType="solid">
          <fgColor indexed="64"/>
          <bgColor rgb="FFE7F1F9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FFB3B3"/>
      </font>
      <fill>
        <patternFill patternType="none">
          <fgColor indexed="64"/>
          <bgColor auto="1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FFE9A3"/>
      </font>
      <fill>
        <patternFill patternType="none">
          <fgColor indexed="64"/>
          <bgColor auto="1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FFC000"/>
      </font>
      <fill>
        <patternFill patternType="none">
          <fgColor indexed="64"/>
          <bgColor auto="1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theme="9" tint="0.59996337778862885"/>
      </font>
      <fill>
        <patternFill patternType="none">
          <fgColor indexed="64"/>
          <bgColor auto="1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color rgb="FFC00000"/>
      </font>
      <fill>
        <patternFill patternType="solid">
          <fgColor indexed="64"/>
          <bgColor theme="0" tint="-0.1499679555650502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C65911"/>
      </font>
      <fill>
        <patternFill patternType="solid">
          <fgColor indexed="64"/>
          <bgColor rgb="FFFFE9A3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C65911"/>
      </font>
      <fill>
        <patternFill patternType="solid">
          <fgColor indexed="64"/>
          <bgColor rgb="FFFFD966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00B050"/>
      </font>
      <fill>
        <patternFill patternType="solid">
          <fgColor indexed="64"/>
          <bgColor theme="9" tint="0.59996337778862885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C00000"/>
      </font>
      <fill>
        <patternFill patternType="solid">
          <fgColor indexed="64"/>
          <bgColor rgb="FFFFBDBD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7" tint="-0.24994659260841701"/>
      </font>
      <fill>
        <patternFill>
          <bgColor rgb="FFFFF4D5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C00000"/>
      </font>
      <fill>
        <patternFill>
          <bgColor rgb="FFFFDDDD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7" tint="-0.24994659260841701"/>
      </font>
      <fill>
        <patternFill>
          <bgColor rgb="FFFFF4D5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C00000"/>
      </font>
      <fill>
        <patternFill>
          <bgColor rgb="FFFFDDDD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00B050"/>
      </font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DC2626"/>
      </font>
      <fill>
        <patternFill patternType="none">
          <fgColor indexed="64"/>
          <bgColor auto="1"/>
        </patternFill>
      </fill>
    </dxf>
    <dxf>
      <font>
        <color rgb="FF166534"/>
      </font>
      <fill>
        <patternFill patternType="none">
          <fgColor indexed="64"/>
          <bgColor auto="1"/>
        </patternFill>
      </fill>
    </dxf>
    <dxf>
      <font>
        <color rgb="FF92D050"/>
      </font>
      <fill>
        <patternFill patternType="none">
          <fgColor indexed="64"/>
          <bgColor auto="1"/>
        </patternFill>
      </fill>
    </dxf>
    <dxf>
      <font>
        <color rgb="FFCA8A04"/>
      </font>
      <fill>
        <patternFill patternType="none">
          <fgColor indexed="64"/>
          <bgColor auto="1"/>
        </patternFill>
      </fill>
    </dxf>
    <dxf>
      <font>
        <color rgb="FFD97706"/>
      </font>
      <fill>
        <patternFill patternType="none">
          <fgColor indexed="64"/>
          <bgColor auto="1"/>
        </patternFill>
      </fill>
    </dxf>
    <dxf>
      <font>
        <color rgb="FFDC2626"/>
      </font>
      <fill>
        <patternFill patternType="none">
          <fgColor indexed="64"/>
          <bgColor auto="1"/>
        </patternFill>
      </fill>
    </dxf>
    <dxf>
      <font>
        <color rgb="FF00B050"/>
      </font>
      <fill>
        <patternFill patternType="none">
          <fgColor indexed="64"/>
          <bgColor auto="1"/>
        </patternFill>
      </fill>
    </dxf>
    <dxf>
      <font>
        <color rgb="FF00B050"/>
      </font>
      <fill>
        <patternFill patternType="none">
          <fgColor indexed="64"/>
          <bgColor auto="1"/>
        </patternFill>
      </fill>
    </dxf>
    <dxf>
      <font>
        <color rgb="FF00B050"/>
      </font>
      <fill>
        <patternFill patternType="none">
          <fgColor indexed="64"/>
          <bgColor auto="1"/>
        </patternFill>
      </fill>
    </dxf>
    <dxf>
      <font>
        <color rgb="FF00B050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E7F1F9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color rgb="FFFFCCCC"/>
      </font>
      <fill>
        <patternFill patternType="solid">
          <fgColor indexed="64"/>
          <bgColor theme="4" tint="0.79998168889431442"/>
        </patternFill>
      </fill>
      <border>
        <left style="thin">
          <color theme="0" tint="-0.14990691854609822"/>
        </left>
        <right style="thin">
          <color theme="0" tint="-0.14990691854609822"/>
        </right>
        <top style="thin">
          <color theme="0" tint="-0.14990691854609822"/>
        </top>
        <bottom style="thin">
          <color theme="0" tint="-0.14990691854609822"/>
        </bottom>
      </border>
    </dxf>
    <dxf>
      <font>
        <color rgb="FFFFFFCC"/>
      </font>
      <fill>
        <patternFill patternType="solid">
          <fgColor indexed="64"/>
          <bgColor theme="4" tint="0.7999816888943144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rgb="FFFFC000"/>
      </font>
      <fill>
        <patternFill patternType="solid">
          <fgColor indexed="64"/>
          <bgColor theme="4" tint="0.79998168889431442"/>
        </patternFill>
      </fill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theme="9" tint="0.59996337778862885"/>
      </font>
      <fill>
        <patternFill patternType="solid">
          <fgColor indexed="64"/>
          <bgColor theme="4" tint="0.79998168889431442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theme="9" tint="0.59996337778862885"/>
      </font>
      <fill>
        <patternFill patternType="solid">
          <fgColor indexed="64"/>
          <bgColor theme="4" tint="0.79998168889431442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color rgb="FFFF7C80"/>
      </font>
      <fill>
        <patternFill patternType="solid">
          <fgColor indexed="64"/>
          <bgColor theme="0" tint="-0.2499465926084170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theme="5" tint="-0.24994659260841701"/>
      </font>
      <fill>
        <patternFill patternType="solid">
          <fgColor indexed="64"/>
          <bgColor rgb="FFFFFFCC"/>
        </patternFill>
      </fill>
    </dxf>
    <dxf>
      <font>
        <color theme="5" tint="-0.24994659260841701"/>
      </font>
      <fill>
        <patternFill patternType="solid">
          <fgColor indexed="64"/>
          <bgColor theme="7" tint="0.39994506668294322"/>
        </patternFill>
      </fill>
    </dxf>
    <dxf>
      <font>
        <color rgb="FF00B050"/>
      </font>
      <fill>
        <patternFill patternType="solid">
          <fgColor indexed="64"/>
          <bgColor theme="9" tint="0.59996337778862885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theme="0" tint="-4.9989318521683403E-2"/>
      </font>
      <fill>
        <patternFill patternType="solid">
          <fgColor indexed="64"/>
          <bgColor theme="9" tint="-0.24994659260841701"/>
        </patternFill>
      </fill>
    </dxf>
    <dxf>
      <fill>
        <patternFill patternType="solid">
          <fgColor indexed="64"/>
          <bgColor rgb="FFDFEB95"/>
        </patternFill>
      </fill>
    </dxf>
    <dxf>
      <font>
        <b/>
        <i val="0"/>
      </font>
      <fill>
        <patternFill patternType="solid">
          <fgColor indexed="64"/>
          <bgColor rgb="FFF6DFA0"/>
        </patternFill>
      </fill>
    </dxf>
    <dxf>
      <font>
        <b/>
        <i val="0"/>
        <color rgb="FFFFFFFF"/>
      </font>
      <fill>
        <patternFill patternType="solid">
          <fgColor indexed="64"/>
          <bgColor rgb="FFFF9393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B3B3"/>
      <color rgb="FFFFBDBD"/>
      <color rgb="FFE0F8AA"/>
      <color rgb="FFE0F44A"/>
      <color rgb="FFFFE9A3"/>
      <color rgb="FFFFF2CD"/>
      <color rgb="FFFFF4D5"/>
      <color rgb="FFFFC7CE"/>
      <color rgb="FFFFDDDD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19" Type="http://schemas.openxmlformats.org/officeDocument/2006/relationships/image" Target="../media/image19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377078</xdr:colOff>
      <xdr:row>14</xdr:row>
      <xdr:rowOff>41444</xdr:rowOff>
    </xdr:from>
    <xdr:to>
      <xdr:col>2</xdr:col>
      <xdr:colOff>869204</xdr:colOff>
      <xdr:row>16</xdr:row>
      <xdr:rowOff>136523</xdr:rowOff>
    </xdr:to>
    <xdr:pic>
      <xdr:nvPicPr>
        <xdr:cNvPr id="3" name="Gráfico 2" descr="Ascensor contorno">
          <a:extLst>
            <a:ext uri="{FF2B5EF4-FFF2-40B4-BE49-F238E27FC236}">
              <a16:creationId xmlns:a16="http://schemas.microsoft.com/office/drawing/2014/main" id="{F717486A-EBD7-BCC7-7D6C-1C6D4DF81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2049" y="2753268"/>
          <a:ext cx="492126" cy="476079"/>
        </a:xfrm>
        <a:prstGeom prst="rect">
          <a:avLst/>
        </a:prstGeom>
      </xdr:spPr>
    </xdr:pic>
    <xdr:clientData/>
  </xdr:twoCellAnchor>
  <xdr:twoCellAnchor editAs="oneCell">
    <xdr:from>
      <xdr:col>2</xdr:col>
      <xdr:colOff>441352</xdr:colOff>
      <xdr:row>23</xdr:row>
      <xdr:rowOff>106457</xdr:rowOff>
    </xdr:from>
    <xdr:to>
      <xdr:col>2</xdr:col>
      <xdr:colOff>855667</xdr:colOff>
      <xdr:row>25</xdr:row>
      <xdr:rowOff>133671</xdr:rowOff>
    </xdr:to>
    <xdr:pic>
      <xdr:nvPicPr>
        <xdr:cNvPr id="5" name="Gráfico 4" descr="Ascensor subiendo contorno">
          <a:extLst>
            <a:ext uri="{FF2B5EF4-FFF2-40B4-BE49-F238E27FC236}">
              <a16:creationId xmlns:a16="http://schemas.microsoft.com/office/drawing/2014/main" id="{F79CEE78-28DF-313D-9D0E-1E63DA90A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66323" y="4532781"/>
          <a:ext cx="414315" cy="408214"/>
        </a:xfrm>
        <a:prstGeom prst="rect">
          <a:avLst/>
        </a:prstGeom>
      </xdr:spPr>
    </xdr:pic>
    <xdr:clientData/>
  </xdr:twoCellAnchor>
  <xdr:twoCellAnchor editAs="oneCell">
    <xdr:from>
      <xdr:col>2</xdr:col>
      <xdr:colOff>426573</xdr:colOff>
      <xdr:row>26</xdr:row>
      <xdr:rowOff>66393</xdr:rowOff>
    </xdr:from>
    <xdr:to>
      <xdr:col>2</xdr:col>
      <xdr:colOff>812562</xdr:colOff>
      <xdr:row>28</xdr:row>
      <xdr:rowOff>104320</xdr:rowOff>
    </xdr:to>
    <xdr:pic>
      <xdr:nvPicPr>
        <xdr:cNvPr id="7" name="Gráfico 6" descr="Torre eléctrica contorno">
          <a:extLst>
            <a:ext uri="{FF2B5EF4-FFF2-40B4-BE49-F238E27FC236}">
              <a16:creationId xmlns:a16="http://schemas.microsoft.com/office/drawing/2014/main" id="{010813AA-B791-9634-5AAE-45299F05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51544" y="5064217"/>
          <a:ext cx="379639" cy="418927"/>
        </a:xfrm>
        <a:prstGeom prst="rect">
          <a:avLst/>
        </a:prstGeom>
      </xdr:spPr>
    </xdr:pic>
    <xdr:clientData/>
  </xdr:twoCellAnchor>
  <xdr:twoCellAnchor editAs="oneCell">
    <xdr:from>
      <xdr:col>2</xdr:col>
      <xdr:colOff>412510</xdr:colOff>
      <xdr:row>29</xdr:row>
      <xdr:rowOff>89727</xdr:rowOff>
    </xdr:from>
    <xdr:to>
      <xdr:col>2</xdr:col>
      <xdr:colOff>797272</xdr:colOff>
      <xdr:row>31</xdr:row>
      <xdr:rowOff>96664</xdr:rowOff>
    </xdr:to>
    <xdr:pic>
      <xdr:nvPicPr>
        <xdr:cNvPr id="9" name="Gráfico 8" descr="Alta tensión contorno">
          <a:extLst>
            <a:ext uri="{FF2B5EF4-FFF2-40B4-BE49-F238E27FC236}">
              <a16:creationId xmlns:a16="http://schemas.microsoft.com/office/drawing/2014/main" id="{1726E62E-012E-102F-397E-6E1BB4E08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7481" y="5659051"/>
          <a:ext cx="384762" cy="387937"/>
        </a:xfrm>
        <a:prstGeom prst="rect">
          <a:avLst/>
        </a:prstGeom>
      </xdr:spPr>
    </xdr:pic>
    <xdr:clientData/>
  </xdr:twoCellAnchor>
  <xdr:twoCellAnchor editAs="oneCell">
    <xdr:from>
      <xdr:col>2</xdr:col>
      <xdr:colOff>424251</xdr:colOff>
      <xdr:row>35</xdr:row>
      <xdr:rowOff>104026</xdr:rowOff>
    </xdr:from>
    <xdr:to>
      <xdr:col>2</xdr:col>
      <xdr:colOff>830454</xdr:colOff>
      <xdr:row>37</xdr:row>
      <xdr:rowOff>144234</xdr:rowOff>
    </xdr:to>
    <xdr:pic>
      <xdr:nvPicPr>
        <xdr:cNvPr id="13" name="Gráfico 12" descr="Fuego contorno">
          <a:extLst>
            <a:ext uri="{FF2B5EF4-FFF2-40B4-BE49-F238E27FC236}">
              <a16:creationId xmlns:a16="http://schemas.microsoft.com/office/drawing/2014/main" id="{933568B6-EB81-221D-E668-61065025D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49222" y="6816350"/>
          <a:ext cx="399853" cy="414858"/>
        </a:xfrm>
        <a:prstGeom prst="rect">
          <a:avLst/>
        </a:prstGeom>
      </xdr:spPr>
    </xdr:pic>
    <xdr:clientData/>
  </xdr:twoCellAnchor>
  <xdr:twoCellAnchor editAs="oneCell">
    <xdr:from>
      <xdr:col>2</xdr:col>
      <xdr:colOff>325773</xdr:colOff>
      <xdr:row>47</xdr:row>
      <xdr:rowOff>106507</xdr:rowOff>
    </xdr:from>
    <xdr:to>
      <xdr:col>2</xdr:col>
      <xdr:colOff>866884</xdr:colOff>
      <xdr:row>50</xdr:row>
      <xdr:rowOff>87539</xdr:rowOff>
    </xdr:to>
    <xdr:pic>
      <xdr:nvPicPr>
        <xdr:cNvPr id="15" name="Gráfico 14" descr="Germen contorno">
          <a:extLst>
            <a:ext uri="{FF2B5EF4-FFF2-40B4-BE49-F238E27FC236}">
              <a16:creationId xmlns:a16="http://schemas.microsoft.com/office/drawing/2014/main" id="{26908A0E-97DC-6788-C218-3E011ABC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50744" y="9104831"/>
          <a:ext cx="541111" cy="552532"/>
        </a:xfrm>
        <a:prstGeom prst="rect">
          <a:avLst/>
        </a:prstGeom>
      </xdr:spPr>
    </xdr:pic>
    <xdr:clientData/>
  </xdr:twoCellAnchor>
  <xdr:twoCellAnchor editAs="oneCell">
    <xdr:from>
      <xdr:col>2</xdr:col>
      <xdr:colOff>318567</xdr:colOff>
      <xdr:row>61</xdr:row>
      <xdr:rowOff>59284</xdr:rowOff>
    </xdr:from>
    <xdr:to>
      <xdr:col>2</xdr:col>
      <xdr:colOff>888706</xdr:colOff>
      <xdr:row>64</xdr:row>
      <xdr:rowOff>57923</xdr:rowOff>
    </xdr:to>
    <xdr:pic>
      <xdr:nvPicPr>
        <xdr:cNvPr id="17" name="Gráfico 16" descr="Copo de nieve contorno">
          <a:extLst>
            <a:ext uri="{FF2B5EF4-FFF2-40B4-BE49-F238E27FC236}">
              <a16:creationId xmlns:a16="http://schemas.microsoft.com/office/drawing/2014/main" id="{CFCEFD71-A2AA-6746-4A8F-842D8426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43538" y="11724608"/>
          <a:ext cx="570139" cy="570139"/>
        </a:xfrm>
        <a:prstGeom prst="rect">
          <a:avLst/>
        </a:prstGeom>
      </xdr:spPr>
    </xdr:pic>
    <xdr:clientData/>
  </xdr:twoCellAnchor>
  <xdr:twoCellAnchor editAs="oneCell">
    <xdr:from>
      <xdr:col>2</xdr:col>
      <xdr:colOff>356935</xdr:colOff>
      <xdr:row>75</xdr:row>
      <xdr:rowOff>129641</xdr:rowOff>
    </xdr:from>
    <xdr:to>
      <xdr:col>2</xdr:col>
      <xdr:colOff>877163</xdr:colOff>
      <xdr:row>78</xdr:row>
      <xdr:rowOff>65234</xdr:rowOff>
    </xdr:to>
    <xdr:pic>
      <xdr:nvPicPr>
        <xdr:cNvPr id="19" name="Gráfico 18" descr="Combustible contorno">
          <a:extLst>
            <a:ext uri="{FF2B5EF4-FFF2-40B4-BE49-F238E27FC236}">
              <a16:creationId xmlns:a16="http://schemas.microsoft.com/office/drawing/2014/main" id="{2523D6DB-4F01-CE69-1079-831F900A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81906" y="14461965"/>
          <a:ext cx="520228" cy="513443"/>
        </a:xfrm>
        <a:prstGeom prst="rect">
          <a:avLst/>
        </a:prstGeom>
      </xdr:spPr>
    </xdr:pic>
    <xdr:clientData/>
  </xdr:twoCellAnchor>
  <xdr:twoCellAnchor editAs="oneCell">
    <xdr:from>
      <xdr:col>2</xdr:col>
      <xdr:colOff>384150</xdr:colOff>
      <xdr:row>80</xdr:row>
      <xdr:rowOff>150725</xdr:rowOff>
    </xdr:from>
    <xdr:to>
      <xdr:col>2</xdr:col>
      <xdr:colOff>846792</xdr:colOff>
      <xdr:row>83</xdr:row>
      <xdr:rowOff>35511</xdr:rowOff>
    </xdr:to>
    <xdr:pic>
      <xdr:nvPicPr>
        <xdr:cNvPr id="21" name="Gráfico 20" descr="Coche eléctrico contorno">
          <a:extLst>
            <a:ext uri="{FF2B5EF4-FFF2-40B4-BE49-F238E27FC236}">
              <a16:creationId xmlns:a16="http://schemas.microsoft.com/office/drawing/2014/main" id="{DE44160D-5342-F5BB-AB73-19CC622D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09121" y="15435549"/>
          <a:ext cx="462642" cy="456286"/>
        </a:xfrm>
        <a:prstGeom prst="rect">
          <a:avLst/>
        </a:prstGeom>
      </xdr:spPr>
    </xdr:pic>
    <xdr:clientData/>
  </xdr:twoCellAnchor>
  <xdr:twoCellAnchor editAs="oneCell">
    <xdr:from>
      <xdr:col>15</xdr:col>
      <xdr:colOff>448236</xdr:colOff>
      <xdr:row>2</xdr:row>
      <xdr:rowOff>44824</xdr:rowOff>
    </xdr:from>
    <xdr:to>
      <xdr:col>16</xdr:col>
      <xdr:colOff>417008</xdr:colOff>
      <xdr:row>6</xdr:row>
      <xdr:rowOff>170664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AF39BD-A412-4C7B-B706-67DFBE61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8118" y="433295"/>
          <a:ext cx="913241" cy="902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28987</xdr:colOff>
      <xdr:row>3</xdr:row>
      <xdr:rowOff>126918</xdr:rowOff>
    </xdr:from>
    <xdr:to>
      <xdr:col>2</xdr:col>
      <xdr:colOff>399591</xdr:colOff>
      <xdr:row>8</xdr:row>
      <xdr:rowOff>77199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ED0CC-C9E1-4FB5-A8C0-196EC645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987" y="917493"/>
          <a:ext cx="913241" cy="90278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4E48-191F-404D-90AF-9F34D6E448E2}">
  <sheetPr codeName="Hoja1"/>
  <dimension ref="A1:Z97"/>
  <sheetViews>
    <sheetView showGridLines="0" tabSelected="1" zoomScale="85" zoomScaleNormal="85" workbookViewId="0">
      <pane xSplit="7" ySplit="10" topLeftCell="H11" activePane="bottomRight" state="frozen"/>
      <selection pane="topRight" activeCell="G1" sqref="G1"/>
      <selection pane="bottomLeft" activeCell="A12" sqref="A12"/>
      <selection pane="bottomRight" activeCell="M11" sqref="M11"/>
    </sheetView>
  </sheetViews>
  <sheetFormatPr baseColWidth="10" defaultColWidth="0" defaultRowHeight="15" customHeight="1" x14ac:dyDescent="0.3"/>
  <cols>
    <col min="1" max="1" width="3.6328125" style="1" customWidth="1"/>
    <col min="2" max="2" width="4.6328125" style="1" customWidth="1"/>
    <col min="3" max="3" width="15.26953125" style="1" customWidth="1"/>
    <col min="4" max="4" width="7.90625" style="1" customWidth="1"/>
    <col min="5" max="5" width="29.08984375" style="22" customWidth="1"/>
    <col min="6" max="6" width="19.90625" style="1" customWidth="1"/>
    <col min="7" max="7" width="13" style="1" customWidth="1"/>
    <col min="8" max="8" width="11.7265625" style="1" customWidth="1"/>
    <col min="9" max="9" width="14.6328125" style="1" customWidth="1"/>
    <col min="10" max="10" width="12.81640625" style="1" customWidth="1"/>
    <col min="11" max="11" width="13.453125" style="1" customWidth="1"/>
    <col min="12" max="12" width="0.6328125" style="1" customWidth="1"/>
    <col min="13" max="13" width="5.54296875" style="1" customWidth="1"/>
    <col min="14" max="14" width="5.54296875" style="3" customWidth="1"/>
    <col min="15" max="15" width="5.54296875" style="1" customWidth="1"/>
    <col min="16" max="16" width="13.453125" style="3" customWidth="1"/>
    <col min="17" max="17" width="11.08984375" style="3" customWidth="1"/>
    <col min="18" max="18" width="0.81640625" style="3" customWidth="1"/>
    <col min="19" max="19" width="60.453125" style="3" customWidth="1"/>
    <col min="20" max="20" width="13.81640625" style="4" customWidth="1"/>
    <col min="21" max="21" width="80.08984375" style="20" hidden="1" customWidth="1"/>
    <col min="22" max="22" width="2.54296875" style="1" customWidth="1"/>
    <col min="23" max="26" width="0" style="1" hidden="1" customWidth="1"/>
    <col min="27" max="16384" width="10.90625" style="1" hidden="1"/>
  </cols>
  <sheetData>
    <row r="1" spans="1:22" ht="15" customHeight="1" thickBot="1" x14ac:dyDescent="0.35">
      <c r="E1" s="160" t="s">
        <v>346</v>
      </c>
      <c r="F1" s="125" t="s">
        <v>345</v>
      </c>
      <c r="J1" s="160"/>
      <c r="K1" s="125"/>
    </row>
    <row r="2" spans="1:22" ht="15" customHeight="1" x14ac:dyDescent="0.3">
      <c r="C2" s="175" t="s">
        <v>256</v>
      </c>
      <c r="E2" s="23" t="s">
        <v>141</v>
      </c>
      <c r="F2" s="181" t="s">
        <v>257</v>
      </c>
      <c r="G2" s="181"/>
      <c r="H2" s="19" t="str">
        <f>VLOOKUP(F2,BD!D2:H40,2,FALSE)</f>
        <v>MNO</v>
      </c>
    </row>
    <row r="3" spans="1:22" ht="15" customHeight="1" x14ac:dyDescent="0.3">
      <c r="C3" s="176"/>
      <c r="E3" s="24" t="s">
        <v>121</v>
      </c>
      <c r="F3" s="179" t="str">
        <f>VLOOKUP(F2,BD!D2:H40,5,FALSE)</f>
        <v>C. Jaén, 1, 29004 Málaga</v>
      </c>
      <c r="G3" s="179"/>
      <c r="H3" s="179"/>
      <c r="J3" s="172" t="s">
        <v>285</v>
      </c>
      <c r="K3" s="172"/>
      <c r="L3" s="3"/>
    </row>
    <row r="4" spans="1:22" ht="15" customHeight="1" x14ac:dyDescent="0.3">
      <c r="C4" s="176"/>
      <c r="E4" s="24" t="s">
        <v>255</v>
      </c>
      <c r="F4" s="179" t="str">
        <f>VLOOKUP(F2,BD!D2:H40,3,FALSE)</f>
        <v>CCPP MNO</v>
      </c>
      <c r="G4" s="179"/>
      <c r="H4" s="179"/>
      <c r="J4" s="35" t="s">
        <v>281</v>
      </c>
      <c r="K4" s="110" t="s">
        <v>280</v>
      </c>
      <c r="L4" s="34"/>
      <c r="N4" s="1"/>
      <c r="P4" s="1"/>
      <c r="T4" s="3"/>
      <c r="U4" s="4"/>
      <c r="V4" s="20"/>
    </row>
    <row r="5" spans="1:22" ht="15" customHeight="1" x14ac:dyDescent="0.3">
      <c r="C5" s="176"/>
      <c r="E5" s="24" t="s">
        <v>126</v>
      </c>
      <c r="F5" s="179" t="str">
        <f>VLOOKUP(F2,BD!D2:H40,4,FALSE)</f>
        <v>Maria Romero</v>
      </c>
      <c r="G5" s="179"/>
      <c r="H5" s="179"/>
      <c r="J5" s="35" t="s">
        <v>282</v>
      </c>
      <c r="K5" s="110" t="s">
        <v>280</v>
      </c>
      <c r="L5" s="34"/>
    </row>
    <row r="6" spans="1:22" ht="15" customHeight="1" x14ac:dyDescent="0.3">
      <c r="C6" s="176"/>
      <c r="E6" s="24" t="s">
        <v>127</v>
      </c>
      <c r="F6" s="180">
        <v>45805</v>
      </c>
      <c r="G6" s="180"/>
      <c r="H6" s="180"/>
      <c r="J6" s="35" t="s">
        <v>283</v>
      </c>
      <c r="K6" s="111" t="s">
        <v>280</v>
      </c>
      <c r="L6" s="34"/>
      <c r="M6" s="173" t="s">
        <v>316</v>
      </c>
      <c r="N6" s="173" t="s">
        <v>317</v>
      </c>
      <c r="O6" s="173" t="s">
        <v>318</v>
      </c>
    </row>
    <row r="7" spans="1:22" ht="15" customHeight="1" thickBot="1" x14ac:dyDescent="0.35">
      <c r="C7" s="177"/>
      <c r="E7" s="24" t="s">
        <v>214</v>
      </c>
      <c r="F7" s="178" t="s">
        <v>211</v>
      </c>
      <c r="G7" s="178"/>
      <c r="H7" s="32">
        <v>2025</v>
      </c>
      <c r="J7" s="35" t="s">
        <v>319</v>
      </c>
      <c r="K7" s="112" t="s">
        <v>280</v>
      </c>
      <c r="L7" s="34"/>
      <c r="M7" s="173"/>
      <c r="N7" s="173"/>
      <c r="O7" s="173"/>
    </row>
    <row r="8" spans="1:22" ht="14" customHeight="1" x14ac:dyDescent="0.3">
      <c r="J8" s="35" t="s">
        <v>284</v>
      </c>
      <c r="K8" s="113" t="s">
        <v>280</v>
      </c>
      <c r="L8" s="34"/>
      <c r="M8" s="173"/>
      <c r="N8" s="173"/>
      <c r="O8" s="173"/>
    </row>
    <row r="9" spans="1:22" ht="11" customHeight="1" x14ac:dyDescent="0.3">
      <c r="L9" s="34"/>
      <c r="M9" s="173"/>
      <c r="N9" s="173"/>
      <c r="O9" s="173"/>
      <c r="P9" s="1"/>
      <c r="S9" s="1"/>
      <c r="T9" s="1"/>
      <c r="U9" s="1"/>
    </row>
    <row r="10" spans="1:22" s="25" customFormat="1" ht="22.5" customHeight="1" x14ac:dyDescent="0.35">
      <c r="A10" s="60" t="s">
        <v>176</v>
      </c>
      <c r="B10" s="182" t="s">
        <v>0</v>
      </c>
      <c r="C10" s="183"/>
      <c r="D10" s="183"/>
      <c r="E10" s="184"/>
      <c r="F10" s="60"/>
      <c r="G10" s="60" t="s">
        <v>52</v>
      </c>
      <c r="H10" s="60" t="s">
        <v>58</v>
      </c>
      <c r="I10" s="60" t="s">
        <v>51</v>
      </c>
      <c r="J10" s="60" t="s">
        <v>49</v>
      </c>
      <c r="K10" s="58" t="s">
        <v>50</v>
      </c>
      <c r="L10" s="34"/>
      <c r="M10" s="174"/>
      <c r="N10" s="174"/>
      <c r="O10" s="174"/>
      <c r="P10" s="59" t="s">
        <v>61</v>
      </c>
      <c r="Q10" s="59" t="s">
        <v>329</v>
      </c>
      <c r="R10" s="3"/>
      <c r="S10" s="60" t="s">
        <v>134</v>
      </c>
      <c r="T10" s="60" t="s">
        <v>342</v>
      </c>
      <c r="U10" s="33" t="s">
        <v>133</v>
      </c>
    </row>
    <row r="11" spans="1:22" ht="15" customHeight="1" x14ac:dyDescent="0.3">
      <c r="A11" s="116">
        <v>1</v>
      </c>
      <c r="B11" s="170">
        <v>1</v>
      </c>
      <c r="C11" s="171" t="s">
        <v>1</v>
      </c>
      <c r="D11" s="171" t="s">
        <v>2</v>
      </c>
      <c r="E11" s="80" t="s">
        <v>46</v>
      </c>
      <c r="F11" s="70" t="s">
        <v>84</v>
      </c>
      <c r="G11" s="70">
        <v>2</v>
      </c>
      <c r="H11" s="141"/>
      <c r="I11" s="142"/>
      <c r="J11" s="142"/>
      <c r="K11" s="61" t="str">
        <f t="shared" ref="K11:K74" si="0">IF(OR(J11="-",J11="")," ",IF(ISNUMBER(G11),J11+(365*G11),IF(G11="Mensual",J11+30,IF(G11="Trimestral",J11+91,IF(G11="Semestral",J11+182,IF(G11="Diario",J11+1,J11+365))))))</f>
        <v xml:space="preserve"> </v>
      </c>
      <c r="L11" s="34"/>
      <c r="M11" s="156" t="b">
        <v>0</v>
      </c>
      <c r="N11" s="156" t="b">
        <v>0</v>
      </c>
      <c r="O11" s="156" t="b">
        <v>0</v>
      </c>
      <c r="P11" s="67" t="str">
        <f t="shared" ref="P11:P14" ca="1" si="1">IF(AND(OR(K11="",K11=" "),OR(M11=TRUE,N11=TRUE,O11=TRUE)),"ERROR",
IF(OR(K11="",K11=" "),"-",
  IF(AND(TODAY()&gt;K11,K11&lt;&gt;""),"PTE.",
    IF(AND(TODAY()&lt;K11,O11=TRUE),"DESFAVORABLE",
      IF(AND(TODAY()&lt;K11,O11=FALSE,OR(AND(M11=FALSE,N11=TRUE),AND(M11=TRUE,N11=TRUE))),"CONDICIONADO",
        IF(AND(TODAY()&lt;K11,O11=FALSE,M11=TRUE,N11=FALSE),"FAVORABLE",
          IF(AND(OR(TODAY()&lt;K11,K11=""),O11=FALSE,M11=FALSE,N11=FALSE),"ERROR","-")))))))</f>
        <v>-</v>
      </c>
      <c r="Q11" s="64" t="str">
        <f t="shared" ref="Q11:Q54" ca="1" si="2">REPT("██",IF(P11="Favorable",1,IF(P11="Condicionado",2,IF(P11="PTE.",3,IF(P11="desfavorable",4,"0")))))</f>
        <v/>
      </c>
      <c r="S11" s="165"/>
      <c r="T11" s="147"/>
      <c r="U11" s="57" t="s">
        <v>60</v>
      </c>
    </row>
    <row r="12" spans="1:22" ht="15" customHeight="1" x14ac:dyDescent="0.3">
      <c r="A12" s="116">
        <v>2</v>
      </c>
      <c r="B12" s="170"/>
      <c r="C12" s="171"/>
      <c r="D12" s="171"/>
      <c r="E12" s="80" t="s">
        <v>46</v>
      </c>
      <c r="F12" s="70" t="s">
        <v>84</v>
      </c>
      <c r="G12" s="70">
        <v>2</v>
      </c>
      <c r="H12" s="141"/>
      <c r="I12" s="142"/>
      <c r="J12" s="142"/>
      <c r="K12" s="61" t="str">
        <f t="shared" si="0"/>
        <v xml:space="preserve"> </v>
      </c>
      <c r="L12" s="34"/>
      <c r="M12" s="156" t="b">
        <v>0</v>
      </c>
      <c r="N12" s="156" t="b">
        <v>0</v>
      </c>
      <c r="O12" s="156" t="b">
        <v>0</v>
      </c>
      <c r="P12" s="67" t="str">
        <f t="shared" ca="1" si="1"/>
        <v>-</v>
      </c>
      <c r="Q12" s="64" t="str">
        <f t="shared" ca="1" si="2"/>
        <v/>
      </c>
      <c r="S12" s="165" t="s">
        <v>347</v>
      </c>
      <c r="T12" s="147">
        <v>41255</v>
      </c>
      <c r="U12" s="57" t="s">
        <v>60</v>
      </c>
    </row>
    <row r="13" spans="1:22" ht="15" customHeight="1" x14ac:dyDescent="0.3">
      <c r="A13" s="116">
        <v>3</v>
      </c>
      <c r="B13" s="170"/>
      <c r="C13" s="171"/>
      <c r="D13" s="171"/>
      <c r="E13" s="80" t="s">
        <v>46</v>
      </c>
      <c r="F13" s="70" t="s">
        <v>84</v>
      </c>
      <c r="G13" s="70">
        <v>2</v>
      </c>
      <c r="H13" s="141"/>
      <c r="I13" s="142"/>
      <c r="J13" s="142"/>
      <c r="K13" s="61" t="str">
        <f t="shared" si="0"/>
        <v xml:space="preserve"> </v>
      </c>
      <c r="L13" s="34"/>
      <c r="M13" s="156" t="b">
        <v>0</v>
      </c>
      <c r="N13" s="156" t="b">
        <v>0</v>
      </c>
      <c r="O13" s="156" t="b">
        <v>0</v>
      </c>
      <c r="P13" s="67" t="str">
        <f t="shared" ca="1" si="1"/>
        <v>-</v>
      </c>
      <c r="Q13" s="64" t="str">
        <f t="shared" ca="1" si="2"/>
        <v/>
      </c>
      <c r="S13" s="165"/>
      <c r="T13" s="147"/>
      <c r="U13" s="57" t="s">
        <v>60</v>
      </c>
    </row>
    <row r="14" spans="1:22" ht="15" customHeight="1" x14ac:dyDescent="0.3">
      <c r="A14" s="116">
        <v>4</v>
      </c>
      <c r="B14" s="170"/>
      <c r="C14" s="171"/>
      <c r="D14" s="171"/>
      <c r="E14" s="80" t="s">
        <v>46</v>
      </c>
      <c r="F14" s="70" t="s">
        <v>84</v>
      </c>
      <c r="G14" s="70">
        <v>2</v>
      </c>
      <c r="H14" s="141"/>
      <c r="I14" s="142"/>
      <c r="J14" s="142"/>
      <c r="K14" s="61" t="str">
        <f t="shared" si="0"/>
        <v xml:space="preserve"> </v>
      </c>
      <c r="L14" s="34"/>
      <c r="M14" s="156" t="b">
        <v>0</v>
      </c>
      <c r="N14" s="156" t="b">
        <v>0</v>
      </c>
      <c r="O14" s="156" t="b">
        <v>0</v>
      </c>
      <c r="P14" s="67" t="str">
        <f t="shared" ca="1" si="1"/>
        <v>-</v>
      </c>
      <c r="Q14" s="64" t="str">
        <f t="shared" ca="1" si="2"/>
        <v/>
      </c>
      <c r="S14" s="165"/>
      <c r="T14" s="147"/>
      <c r="U14" s="57" t="s">
        <v>60</v>
      </c>
    </row>
    <row r="15" spans="1:22" ht="15" customHeight="1" x14ac:dyDescent="0.3">
      <c r="A15" s="116">
        <v>5</v>
      </c>
      <c r="B15" s="170"/>
      <c r="C15" s="171"/>
      <c r="D15" s="171"/>
      <c r="E15" s="80" t="s">
        <v>46</v>
      </c>
      <c r="F15" s="70" t="s">
        <v>84</v>
      </c>
      <c r="G15" s="70">
        <v>2</v>
      </c>
      <c r="H15" s="141"/>
      <c r="I15" s="142"/>
      <c r="J15" s="142"/>
      <c r="K15" s="61" t="str">
        <f t="shared" si="0"/>
        <v xml:space="preserve"> </v>
      </c>
      <c r="L15" s="34"/>
      <c r="M15" s="156" t="b">
        <v>0</v>
      </c>
      <c r="N15" s="156" t="b">
        <v>0</v>
      </c>
      <c r="O15" s="156" t="b">
        <v>0</v>
      </c>
      <c r="P15" s="67" t="str">
        <f ca="1">IF(AND(OR(K15="",K15=" "),OR(M15=TRUE,N15=TRUE,O15=TRUE)),"ERROR",
IF(OR(K15="",K15=" "),"-",
  IF(AND(TODAY()&gt;K15,K15&lt;&gt;""),"PTE.",
    IF(AND(TODAY()&lt;K15,O15=TRUE),"DESFAVORABLE",
      IF(AND(TODAY()&lt;K15,O15=FALSE,OR(AND(M15=FALSE,N15=TRUE),AND(M15=TRUE,N15=TRUE))),"CONDICIONADO",
        IF(AND(TODAY()&lt;K15,O15=FALSE,M15=TRUE,N15=FALSE),"FAVORABLE",
          IF(AND(OR(TODAY()&lt;K15,K15=""),O15=FALSE,M15=FALSE,N15=FALSE),"ERROR","-")))))))</f>
        <v>-</v>
      </c>
      <c r="Q15" s="64" t="str">
        <f t="shared" ca="1" si="2"/>
        <v/>
      </c>
      <c r="S15" s="165"/>
      <c r="T15" s="147"/>
      <c r="U15" s="57" t="s">
        <v>60</v>
      </c>
    </row>
    <row r="16" spans="1:22" ht="15" customHeight="1" x14ac:dyDescent="0.3">
      <c r="A16" s="116">
        <v>6</v>
      </c>
      <c r="B16" s="170"/>
      <c r="C16" s="171"/>
      <c r="D16" s="171"/>
      <c r="E16" s="80" t="s">
        <v>46</v>
      </c>
      <c r="F16" s="70" t="s">
        <v>84</v>
      </c>
      <c r="G16" s="70">
        <v>2</v>
      </c>
      <c r="H16" s="141"/>
      <c r="I16" s="142"/>
      <c r="J16" s="142"/>
      <c r="K16" s="66" t="str">
        <f t="shared" si="0"/>
        <v xml:space="preserve"> </v>
      </c>
      <c r="L16" s="34"/>
      <c r="M16" s="156" t="b">
        <v>0</v>
      </c>
      <c r="N16" s="156" t="b">
        <v>0</v>
      </c>
      <c r="O16" s="156" t="b">
        <v>0</v>
      </c>
      <c r="P16" s="67" t="str">
        <f t="shared" ref="P16:P79" ca="1" si="3">IF(AND(OR(K16="",K16=" "),OR(M16=TRUE,N16=TRUE,O16=TRUE)),"ERROR",
IF(OR(K16="",K16=" "),"-",
  IF(AND(TODAY()&gt;K16,K16&lt;&gt;""),"PTE.",
    IF(AND(TODAY()&lt;K16,O16=TRUE),"DESFAVORABLE",
      IF(AND(TODAY()&lt;K16,O16=FALSE,OR(AND(M16=FALSE,N16=TRUE),AND(M16=TRUE,N16=TRUE))),"CONDICIONADO",
        IF(AND(TODAY()&lt;K16,O16=FALSE,M16=TRUE,N16=FALSE),"FAVORABLE",
          IF(AND(OR(TODAY()&lt;K16,K16=""),O16=FALSE,M16=FALSE,N16=FALSE),"ERROR","-")))))))</f>
        <v>-</v>
      </c>
      <c r="Q16" s="64" t="str">
        <f t="shared" ca="1" si="2"/>
        <v/>
      </c>
      <c r="S16" s="165"/>
      <c r="T16" s="147"/>
      <c r="U16" s="57" t="s">
        <v>60</v>
      </c>
    </row>
    <row r="17" spans="1:21" ht="15" customHeight="1" x14ac:dyDescent="0.3">
      <c r="A17" s="116">
        <v>7</v>
      </c>
      <c r="B17" s="170"/>
      <c r="C17" s="171"/>
      <c r="D17" s="171"/>
      <c r="E17" s="80" t="s">
        <v>46</v>
      </c>
      <c r="F17" s="70" t="s">
        <v>84</v>
      </c>
      <c r="G17" s="70">
        <v>2</v>
      </c>
      <c r="H17" s="141"/>
      <c r="I17" s="142"/>
      <c r="J17" s="142"/>
      <c r="K17" s="61" t="str">
        <f t="shared" si="0"/>
        <v xml:space="preserve"> </v>
      </c>
      <c r="L17" s="34"/>
      <c r="M17" s="156" t="b">
        <v>0</v>
      </c>
      <c r="N17" s="156" t="b">
        <v>0</v>
      </c>
      <c r="O17" s="156" t="b">
        <v>0</v>
      </c>
      <c r="P17" s="67" t="str">
        <f t="shared" ca="1" si="3"/>
        <v>-</v>
      </c>
      <c r="Q17" s="64" t="str">
        <f t="shared" ca="1" si="2"/>
        <v/>
      </c>
      <c r="S17" s="165"/>
      <c r="T17" s="147"/>
      <c r="U17" s="57" t="s">
        <v>60</v>
      </c>
    </row>
    <row r="18" spans="1:21" ht="15" customHeight="1" x14ac:dyDescent="0.3">
      <c r="A18" s="116">
        <v>8</v>
      </c>
      <c r="B18" s="170"/>
      <c r="C18" s="171"/>
      <c r="D18" s="171"/>
      <c r="E18" s="80" t="s">
        <v>46</v>
      </c>
      <c r="F18" s="70" t="s">
        <v>84</v>
      </c>
      <c r="G18" s="70">
        <v>2</v>
      </c>
      <c r="H18" s="141"/>
      <c r="I18" s="142"/>
      <c r="J18" s="142"/>
      <c r="K18" s="61" t="str">
        <f t="shared" si="0"/>
        <v xml:space="preserve"> </v>
      </c>
      <c r="L18" s="34"/>
      <c r="M18" s="156" t="b">
        <v>0</v>
      </c>
      <c r="N18" s="156" t="b">
        <v>0</v>
      </c>
      <c r="O18" s="156" t="b">
        <v>0</v>
      </c>
      <c r="P18" s="67" t="str">
        <f t="shared" ca="1" si="3"/>
        <v>-</v>
      </c>
      <c r="Q18" s="64" t="str">
        <f t="shared" ca="1" si="2"/>
        <v/>
      </c>
      <c r="S18" s="165"/>
      <c r="T18" s="147"/>
      <c r="U18" s="57"/>
    </row>
    <row r="19" spans="1:21" ht="15" customHeight="1" x14ac:dyDescent="0.3">
      <c r="A19" s="116">
        <v>9</v>
      </c>
      <c r="B19" s="170"/>
      <c r="C19" s="171"/>
      <c r="D19" s="171"/>
      <c r="E19" s="80" t="s">
        <v>46</v>
      </c>
      <c r="F19" s="70" t="s">
        <v>84</v>
      </c>
      <c r="G19" s="70">
        <v>2</v>
      </c>
      <c r="H19" s="141"/>
      <c r="I19" s="142"/>
      <c r="J19" s="142"/>
      <c r="K19" s="61" t="str">
        <f>IF(OR(J19="-",J19="")," ",IF(ISNUMBER(G19),J19+(365*G19),IF(G19="Mensual",J19+30,IF(G19="Trimestral",J19+91,IF(G19="Semestral",J19+182,IF(G19="Diario",J19+1,J19+365))))))</f>
        <v xml:space="preserve"> </v>
      </c>
      <c r="L19" s="34"/>
      <c r="M19" s="156" t="b">
        <v>0</v>
      </c>
      <c r="N19" s="156" t="b">
        <v>0</v>
      </c>
      <c r="O19" s="156" t="b">
        <v>0</v>
      </c>
      <c r="P19" s="67" t="str">
        <f t="shared" ca="1" si="3"/>
        <v>-</v>
      </c>
      <c r="Q19" s="64" t="str">
        <f t="shared" ca="1" si="2"/>
        <v/>
      </c>
      <c r="S19" s="165"/>
      <c r="T19" s="147"/>
      <c r="U19" s="57"/>
    </row>
    <row r="20" spans="1:21" ht="15" customHeight="1" x14ac:dyDescent="0.3">
      <c r="A20" s="116">
        <v>10</v>
      </c>
      <c r="B20" s="170"/>
      <c r="C20" s="171"/>
      <c r="D20" s="171"/>
      <c r="E20" s="80" t="s">
        <v>46</v>
      </c>
      <c r="F20" s="70" t="s">
        <v>84</v>
      </c>
      <c r="G20" s="70">
        <v>2</v>
      </c>
      <c r="H20" s="141"/>
      <c r="I20" s="142"/>
      <c r="J20" s="142"/>
      <c r="K20" s="61" t="str">
        <f t="shared" si="0"/>
        <v xml:space="preserve"> </v>
      </c>
      <c r="L20" s="34"/>
      <c r="M20" s="156" t="b">
        <v>0</v>
      </c>
      <c r="N20" s="156" t="b">
        <v>0</v>
      </c>
      <c r="O20" s="156" t="b">
        <v>0</v>
      </c>
      <c r="P20" s="67" t="str">
        <f t="shared" ca="1" si="3"/>
        <v>-</v>
      </c>
      <c r="Q20" s="64" t="str">
        <f t="shared" ca="1" si="2"/>
        <v/>
      </c>
      <c r="S20" s="165"/>
      <c r="T20" s="147"/>
      <c r="U20" s="57"/>
    </row>
    <row r="21" spans="1:21" ht="15" customHeight="1" x14ac:dyDescent="0.3">
      <c r="A21" s="116">
        <v>11</v>
      </c>
      <c r="B21" s="170"/>
      <c r="C21" s="171"/>
      <c r="D21" s="171"/>
      <c r="E21" s="80" t="s">
        <v>46</v>
      </c>
      <c r="F21" s="70" t="s">
        <v>84</v>
      </c>
      <c r="G21" s="70">
        <v>2</v>
      </c>
      <c r="H21" s="141"/>
      <c r="I21" s="142"/>
      <c r="J21" s="142"/>
      <c r="K21" s="61" t="str">
        <f t="shared" si="0"/>
        <v xml:space="preserve"> </v>
      </c>
      <c r="L21" s="34"/>
      <c r="M21" s="156" t="b">
        <v>0</v>
      </c>
      <c r="N21" s="156" t="b">
        <v>0</v>
      </c>
      <c r="O21" s="156" t="b">
        <v>0</v>
      </c>
      <c r="P21" s="67" t="str">
        <f t="shared" ca="1" si="3"/>
        <v>-</v>
      </c>
      <c r="Q21" s="64" t="str">
        <f t="shared" ca="1" si="2"/>
        <v/>
      </c>
      <c r="S21" s="165"/>
      <c r="T21" s="147"/>
      <c r="U21" s="57"/>
    </row>
    <row r="22" spans="1:21" ht="15" customHeight="1" x14ac:dyDescent="0.3">
      <c r="A22" s="116">
        <v>12</v>
      </c>
      <c r="B22" s="170"/>
      <c r="C22" s="171"/>
      <c r="D22" s="171"/>
      <c r="E22" s="80" t="s">
        <v>46</v>
      </c>
      <c r="F22" s="70" t="s">
        <v>84</v>
      </c>
      <c r="G22" s="70">
        <v>2</v>
      </c>
      <c r="H22" s="141"/>
      <c r="I22" s="142"/>
      <c r="J22" s="142"/>
      <c r="K22" s="61" t="str">
        <f t="shared" si="0"/>
        <v xml:space="preserve"> </v>
      </c>
      <c r="L22" s="34"/>
      <c r="M22" s="156" t="b">
        <v>0</v>
      </c>
      <c r="N22" s="156" t="b">
        <v>0</v>
      </c>
      <c r="O22" s="156" t="b">
        <v>0</v>
      </c>
      <c r="P22" s="67" t="str">
        <f t="shared" ca="1" si="3"/>
        <v>-</v>
      </c>
      <c r="Q22" s="64" t="str">
        <f t="shared" ca="1" si="2"/>
        <v/>
      </c>
      <c r="S22" s="165"/>
      <c r="T22" s="147"/>
      <c r="U22" s="57"/>
    </row>
    <row r="23" spans="1:21" ht="15" customHeight="1" x14ac:dyDescent="0.3">
      <c r="A23" s="116">
        <v>13</v>
      </c>
      <c r="B23" s="170"/>
      <c r="C23" s="171"/>
      <c r="D23" s="171"/>
      <c r="E23" s="80" t="s">
        <v>46</v>
      </c>
      <c r="F23" s="70" t="s">
        <v>84</v>
      </c>
      <c r="G23" s="70">
        <v>2</v>
      </c>
      <c r="H23" s="141"/>
      <c r="I23" s="142"/>
      <c r="J23" s="142"/>
      <c r="K23" s="61" t="str">
        <f t="shared" si="0"/>
        <v xml:space="preserve"> </v>
      </c>
      <c r="L23" s="34"/>
      <c r="M23" s="156" t="b">
        <v>0</v>
      </c>
      <c r="N23" s="156" t="b">
        <v>0</v>
      </c>
      <c r="O23" s="156" t="b">
        <v>0</v>
      </c>
      <c r="P23" s="67" t="str">
        <f t="shared" ca="1" si="3"/>
        <v>-</v>
      </c>
      <c r="Q23" s="64" t="str">
        <f t="shared" ca="1" si="2"/>
        <v/>
      </c>
      <c r="S23" s="165"/>
      <c r="T23" s="147"/>
      <c r="U23" s="57"/>
    </row>
    <row r="24" spans="1:21" ht="15" customHeight="1" x14ac:dyDescent="0.3">
      <c r="A24" s="116">
        <v>14</v>
      </c>
      <c r="B24" s="170"/>
      <c r="C24" s="171"/>
      <c r="D24" s="171"/>
      <c r="E24" s="80" t="s">
        <v>46</v>
      </c>
      <c r="F24" s="82" t="s">
        <v>5</v>
      </c>
      <c r="G24" s="69" t="s">
        <v>55</v>
      </c>
      <c r="H24" s="141"/>
      <c r="I24" s="142"/>
      <c r="J24" s="142"/>
      <c r="K24" s="61" t="str">
        <f t="shared" si="0"/>
        <v xml:space="preserve"> </v>
      </c>
      <c r="L24" s="34"/>
      <c r="M24" s="156" t="b">
        <v>0</v>
      </c>
      <c r="N24" s="156" t="b">
        <v>0</v>
      </c>
      <c r="O24" s="156" t="b">
        <v>0</v>
      </c>
      <c r="P24" s="67" t="str">
        <f t="shared" ca="1" si="3"/>
        <v>-</v>
      </c>
      <c r="Q24" s="64" t="str">
        <f t="shared" ca="1" si="2"/>
        <v/>
      </c>
      <c r="S24" s="165"/>
      <c r="T24" s="147"/>
      <c r="U24" s="57"/>
    </row>
    <row r="25" spans="1:21" ht="15" customHeight="1" x14ac:dyDescent="0.3">
      <c r="A25" s="116">
        <v>15</v>
      </c>
      <c r="B25" s="170"/>
      <c r="C25" s="171"/>
      <c r="D25" s="69" t="s">
        <v>3</v>
      </c>
      <c r="E25" s="80" t="s">
        <v>183</v>
      </c>
      <c r="F25" s="82" t="s">
        <v>5</v>
      </c>
      <c r="G25" s="69" t="s">
        <v>55</v>
      </c>
      <c r="H25" s="141"/>
      <c r="I25" s="142"/>
      <c r="J25" s="142"/>
      <c r="K25" s="61" t="str">
        <f t="shared" si="0"/>
        <v xml:space="preserve"> </v>
      </c>
      <c r="L25" s="34"/>
      <c r="M25" s="156" t="b">
        <v>0</v>
      </c>
      <c r="N25" s="156" t="b">
        <v>0</v>
      </c>
      <c r="O25" s="156" t="b">
        <v>0</v>
      </c>
      <c r="P25" s="67" t="str">
        <f t="shared" ca="1" si="3"/>
        <v>-</v>
      </c>
      <c r="Q25" s="64" t="str">
        <f t="shared" ca="1" si="2"/>
        <v/>
      </c>
      <c r="S25" s="165"/>
      <c r="T25" s="147"/>
      <c r="U25" s="57"/>
    </row>
    <row r="26" spans="1:21" ht="15" customHeight="1" x14ac:dyDescent="0.3">
      <c r="A26" s="116">
        <v>16</v>
      </c>
      <c r="B26" s="170"/>
      <c r="C26" s="171"/>
      <c r="D26" s="69" t="s">
        <v>184</v>
      </c>
      <c r="E26" s="80" t="s">
        <v>4</v>
      </c>
      <c r="F26" s="82" t="s">
        <v>5</v>
      </c>
      <c r="G26" s="69" t="s">
        <v>6</v>
      </c>
      <c r="H26" s="141"/>
      <c r="I26" s="142"/>
      <c r="J26" s="142"/>
      <c r="K26" s="61" t="str">
        <f t="shared" si="0"/>
        <v xml:space="preserve"> </v>
      </c>
      <c r="L26" s="34"/>
      <c r="M26" s="156" t="b">
        <v>0</v>
      </c>
      <c r="N26" s="156" t="b">
        <v>0</v>
      </c>
      <c r="O26" s="156" t="b">
        <v>0</v>
      </c>
      <c r="P26" s="67" t="str">
        <f t="shared" ca="1" si="3"/>
        <v>-</v>
      </c>
      <c r="Q26" s="64" t="str">
        <f t="shared" ca="1" si="2"/>
        <v/>
      </c>
      <c r="S26" s="165"/>
      <c r="T26" s="147"/>
      <c r="U26" s="57" t="s">
        <v>130</v>
      </c>
    </row>
    <row r="27" spans="1:21" ht="15" customHeight="1" x14ac:dyDescent="0.3">
      <c r="A27" s="116">
        <v>17</v>
      </c>
      <c r="B27" s="168">
        <v>2</v>
      </c>
      <c r="C27" s="169" t="s">
        <v>7</v>
      </c>
      <c r="D27" s="169" t="s">
        <v>8</v>
      </c>
      <c r="E27" s="79" t="s">
        <v>9</v>
      </c>
      <c r="F27" s="83" t="s">
        <v>5</v>
      </c>
      <c r="G27" s="72">
        <v>1</v>
      </c>
      <c r="H27" s="141"/>
      <c r="I27" s="142"/>
      <c r="J27" s="142"/>
      <c r="K27" s="61" t="str">
        <f t="shared" si="0"/>
        <v xml:space="preserve"> </v>
      </c>
      <c r="L27" s="34"/>
      <c r="M27" s="156" t="b">
        <v>0</v>
      </c>
      <c r="N27" s="156" t="b">
        <v>0</v>
      </c>
      <c r="O27" s="156" t="b">
        <v>0</v>
      </c>
      <c r="P27" s="67" t="str">
        <f t="shared" ca="1" si="3"/>
        <v>-</v>
      </c>
      <c r="Q27" s="64" t="str">
        <f t="shared" ca="1" si="2"/>
        <v/>
      </c>
      <c r="S27" s="165"/>
      <c r="T27" s="147"/>
      <c r="U27" s="57" t="s">
        <v>129</v>
      </c>
    </row>
    <row r="28" spans="1:21" ht="15" customHeight="1" x14ac:dyDescent="0.3">
      <c r="A28" s="116">
        <v>18</v>
      </c>
      <c r="B28" s="168"/>
      <c r="C28" s="169"/>
      <c r="D28" s="169"/>
      <c r="E28" s="79" t="s">
        <v>9</v>
      </c>
      <c r="F28" s="73" t="s">
        <v>84</v>
      </c>
      <c r="G28" s="73">
        <v>3</v>
      </c>
      <c r="H28" s="141"/>
      <c r="I28" s="142"/>
      <c r="J28" s="142"/>
      <c r="K28" s="61" t="str">
        <f t="shared" si="0"/>
        <v xml:space="preserve"> </v>
      </c>
      <c r="L28" s="34"/>
      <c r="M28" s="156" t="b">
        <v>0</v>
      </c>
      <c r="N28" s="156" t="b">
        <v>0</v>
      </c>
      <c r="O28" s="156" t="b">
        <v>0</v>
      </c>
      <c r="P28" s="67" t="str">
        <f t="shared" ca="1" si="3"/>
        <v>-</v>
      </c>
      <c r="Q28" s="64" t="str">
        <f t="shared" ca="1" si="2"/>
        <v/>
      </c>
      <c r="S28" s="165"/>
      <c r="T28" s="147"/>
      <c r="U28" s="57" t="s">
        <v>77</v>
      </c>
    </row>
    <row r="29" spans="1:21" ht="15" customHeight="1" x14ac:dyDescent="0.3">
      <c r="A29" s="116">
        <v>19</v>
      </c>
      <c r="B29" s="168"/>
      <c r="C29" s="169"/>
      <c r="D29" s="169" t="s">
        <v>10</v>
      </c>
      <c r="E29" s="79" t="s">
        <v>11</v>
      </c>
      <c r="F29" s="83" t="s">
        <v>5</v>
      </c>
      <c r="G29" s="72">
        <v>1</v>
      </c>
      <c r="H29" s="141"/>
      <c r="I29" s="142"/>
      <c r="J29" s="142"/>
      <c r="K29" s="61" t="str">
        <f t="shared" si="0"/>
        <v xml:space="preserve"> </v>
      </c>
      <c r="L29" s="34"/>
      <c r="M29" s="156" t="b">
        <v>0</v>
      </c>
      <c r="N29" s="156" t="b">
        <v>0</v>
      </c>
      <c r="O29" s="156" t="b">
        <v>0</v>
      </c>
      <c r="P29" s="67" t="str">
        <f t="shared" ca="1" si="3"/>
        <v>-</v>
      </c>
      <c r="Q29" s="64" t="str">
        <f t="shared" ca="1" si="2"/>
        <v/>
      </c>
      <c r="S29" s="165"/>
      <c r="T29" s="147"/>
      <c r="U29" s="57" t="s">
        <v>59</v>
      </c>
    </row>
    <row r="30" spans="1:21" ht="15" customHeight="1" x14ac:dyDescent="0.3">
      <c r="A30" s="116">
        <v>20</v>
      </c>
      <c r="B30" s="168"/>
      <c r="C30" s="169"/>
      <c r="D30" s="169"/>
      <c r="E30" s="79" t="s">
        <v>11</v>
      </c>
      <c r="F30" s="84" t="s">
        <v>12</v>
      </c>
      <c r="G30" s="72">
        <v>1</v>
      </c>
      <c r="H30" s="141"/>
      <c r="I30" s="142"/>
      <c r="J30" s="142"/>
      <c r="K30" s="61" t="str">
        <f t="shared" si="0"/>
        <v xml:space="preserve"> </v>
      </c>
      <c r="L30" s="34"/>
      <c r="M30" s="156" t="b">
        <v>0</v>
      </c>
      <c r="N30" s="156" t="b">
        <v>0</v>
      </c>
      <c r="O30" s="156" t="b">
        <v>0</v>
      </c>
      <c r="P30" s="67" t="str">
        <f t="shared" ca="1" si="3"/>
        <v>-</v>
      </c>
      <c r="Q30" s="64" t="str">
        <f t="shared" ca="1" si="2"/>
        <v/>
      </c>
      <c r="S30" s="165"/>
      <c r="T30" s="147"/>
      <c r="U30" s="57" t="s">
        <v>59</v>
      </c>
    </row>
    <row r="31" spans="1:21" ht="15" customHeight="1" x14ac:dyDescent="0.3">
      <c r="A31" s="116">
        <v>21</v>
      </c>
      <c r="B31" s="168"/>
      <c r="C31" s="169"/>
      <c r="D31" s="169"/>
      <c r="E31" s="79" t="s">
        <v>11</v>
      </c>
      <c r="F31" s="73" t="s">
        <v>84</v>
      </c>
      <c r="G31" s="73">
        <v>5</v>
      </c>
      <c r="H31" s="141"/>
      <c r="I31" s="142"/>
      <c r="J31" s="142"/>
      <c r="K31" s="61" t="str">
        <f t="shared" si="0"/>
        <v xml:space="preserve"> </v>
      </c>
      <c r="L31" s="34"/>
      <c r="M31" s="156" t="b">
        <v>0</v>
      </c>
      <c r="N31" s="156" t="b">
        <v>0</v>
      </c>
      <c r="O31" s="156" t="b">
        <v>0</v>
      </c>
      <c r="P31" s="67" t="str">
        <f t="shared" ca="1" si="3"/>
        <v>-</v>
      </c>
      <c r="Q31" s="64" t="str">
        <f t="shared" ca="1" si="2"/>
        <v/>
      </c>
      <c r="S31" s="165"/>
      <c r="T31" s="147"/>
      <c r="U31" s="57" t="s">
        <v>59</v>
      </c>
    </row>
    <row r="32" spans="1:21" ht="15" customHeight="1" x14ac:dyDescent="0.3">
      <c r="A32" s="116">
        <v>22</v>
      </c>
      <c r="B32" s="168"/>
      <c r="C32" s="169"/>
      <c r="D32" s="72" t="s">
        <v>150</v>
      </c>
      <c r="E32" s="79" t="s">
        <v>149</v>
      </c>
      <c r="F32" s="83" t="s">
        <v>5</v>
      </c>
      <c r="G32" s="72">
        <v>1</v>
      </c>
      <c r="H32" s="141"/>
      <c r="I32" s="142"/>
      <c r="J32" s="142"/>
      <c r="K32" s="61" t="str">
        <f t="shared" si="0"/>
        <v xml:space="preserve"> </v>
      </c>
      <c r="L32" s="34"/>
      <c r="M32" s="156" t="b">
        <v>0</v>
      </c>
      <c r="N32" s="156" t="b">
        <v>0</v>
      </c>
      <c r="O32" s="156" t="b">
        <v>0</v>
      </c>
      <c r="P32" s="67" t="str">
        <f t="shared" ca="1" si="3"/>
        <v>-</v>
      </c>
      <c r="Q32" s="64" t="str">
        <f t="shared" ca="1" si="2"/>
        <v/>
      </c>
      <c r="S32" s="165"/>
      <c r="T32" s="147"/>
      <c r="U32" s="57"/>
    </row>
    <row r="33" spans="1:21" ht="15" customHeight="1" x14ac:dyDescent="0.3">
      <c r="A33" s="116">
        <v>23</v>
      </c>
      <c r="B33" s="68">
        <v>3</v>
      </c>
      <c r="C33" s="69" t="s">
        <v>13</v>
      </c>
      <c r="D33" s="69">
        <v>3</v>
      </c>
      <c r="E33" s="80" t="s">
        <v>14</v>
      </c>
      <c r="F33" s="82" t="s">
        <v>15</v>
      </c>
      <c r="G33" s="69">
        <v>1</v>
      </c>
      <c r="H33" s="141"/>
      <c r="I33" s="142"/>
      <c r="J33" s="142"/>
      <c r="K33" s="61" t="str">
        <f t="shared" si="0"/>
        <v xml:space="preserve"> </v>
      </c>
      <c r="L33" s="34"/>
      <c r="M33" s="156" t="b">
        <v>0</v>
      </c>
      <c r="N33" s="156" t="b">
        <v>0</v>
      </c>
      <c r="O33" s="156" t="b">
        <v>0</v>
      </c>
      <c r="P33" s="67" t="str">
        <f t="shared" ca="1" si="3"/>
        <v>-</v>
      </c>
      <c r="Q33" s="64" t="str">
        <f t="shared" ca="1" si="2"/>
        <v/>
      </c>
      <c r="S33" s="165"/>
      <c r="T33" s="147"/>
      <c r="U33" s="57"/>
    </row>
    <row r="34" spans="1:21" ht="15" customHeight="1" x14ac:dyDescent="0.3">
      <c r="A34" s="116">
        <v>24</v>
      </c>
      <c r="B34" s="168">
        <v>4</v>
      </c>
      <c r="C34" s="169" t="s">
        <v>16</v>
      </c>
      <c r="D34" s="169" t="s">
        <v>17</v>
      </c>
      <c r="E34" s="85" t="s">
        <v>187</v>
      </c>
      <c r="F34" s="83" t="s">
        <v>5</v>
      </c>
      <c r="G34" s="72" t="s">
        <v>6</v>
      </c>
      <c r="H34" s="141"/>
      <c r="I34" s="142"/>
      <c r="J34" s="142"/>
      <c r="K34" s="61" t="str">
        <f t="shared" si="0"/>
        <v xml:space="preserve"> </v>
      </c>
      <c r="L34" s="34"/>
      <c r="M34" s="156" t="b">
        <v>0</v>
      </c>
      <c r="N34" s="156" t="b">
        <v>0</v>
      </c>
      <c r="O34" s="156" t="b">
        <v>0</v>
      </c>
      <c r="P34" s="67" t="str">
        <f t="shared" ca="1" si="3"/>
        <v>-</v>
      </c>
      <c r="Q34" s="64" t="str">
        <f t="shared" ca="1" si="2"/>
        <v/>
      </c>
      <c r="S34" s="165"/>
      <c r="T34" s="147"/>
      <c r="U34" s="57" t="s">
        <v>118</v>
      </c>
    </row>
    <row r="35" spans="1:21" ht="15" customHeight="1" x14ac:dyDescent="0.3">
      <c r="A35" s="116">
        <v>25</v>
      </c>
      <c r="B35" s="168"/>
      <c r="C35" s="169"/>
      <c r="D35" s="169"/>
      <c r="E35" s="85" t="s">
        <v>187</v>
      </c>
      <c r="F35" s="83" t="s">
        <v>5</v>
      </c>
      <c r="G35" s="72">
        <v>1</v>
      </c>
      <c r="H35" s="141"/>
      <c r="I35" s="142"/>
      <c r="J35" s="142"/>
      <c r="K35" s="61" t="str">
        <f t="shared" si="0"/>
        <v xml:space="preserve"> </v>
      </c>
      <c r="L35" s="34"/>
      <c r="M35" s="156" t="b">
        <v>0</v>
      </c>
      <c r="N35" s="156" t="b">
        <v>0</v>
      </c>
      <c r="O35" s="156" t="b">
        <v>0</v>
      </c>
      <c r="P35" s="67" t="str">
        <f t="shared" ca="1" si="3"/>
        <v>-</v>
      </c>
      <c r="Q35" s="64" t="str">
        <f t="shared" ca="1" si="2"/>
        <v/>
      </c>
      <c r="S35" s="165"/>
      <c r="T35" s="147"/>
      <c r="U35" s="57"/>
    </row>
    <row r="36" spans="1:21" ht="15" customHeight="1" x14ac:dyDescent="0.3">
      <c r="A36" s="116">
        <v>26</v>
      </c>
      <c r="B36" s="168"/>
      <c r="C36" s="169"/>
      <c r="D36" s="169"/>
      <c r="E36" s="85" t="s">
        <v>187</v>
      </c>
      <c r="F36" s="83" t="s">
        <v>79</v>
      </c>
      <c r="G36" s="72" t="s">
        <v>271</v>
      </c>
      <c r="H36" s="141"/>
      <c r="I36" s="142"/>
      <c r="J36" s="142"/>
      <c r="K36" s="61" t="str">
        <f t="shared" si="0"/>
        <v xml:space="preserve"> </v>
      </c>
      <c r="L36" s="34"/>
      <c r="M36" s="156" t="b">
        <v>0</v>
      </c>
      <c r="N36" s="156" t="b">
        <v>0</v>
      </c>
      <c r="O36" s="156" t="b">
        <v>0</v>
      </c>
      <c r="P36" s="67" t="str">
        <f t="shared" ca="1" si="3"/>
        <v>-</v>
      </c>
      <c r="Q36" s="64" t="str">
        <f t="shared" ca="1" si="2"/>
        <v/>
      </c>
      <c r="S36" s="165"/>
      <c r="T36" s="147"/>
      <c r="U36" s="57"/>
    </row>
    <row r="37" spans="1:21" ht="15" customHeight="1" x14ac:dyDescent="0.3">
      <c r="A37" s="116">
        <v>27</v>
      </c>
      <c r="B37" s="168"/>
      <c r="C37" s="169"/>
      <c r="D37" s="169" t="s">
        <v>18</v>
      </c>
      <c r="E37" s="85" t="s">
        <v>188</v>
      </c>
      <c r="F37" s="73" t="s">
        <v>84</v>
      </c>
      <c r="G37" s="73">
        <v>10</v>
      </c>
      <c r="H37" s="141"/>
      <c r="I37" s="142"/>
      <c r="J37" s="142"/>
      <c r="K37" s="61" t="str">
        <f t="shared" si="0"/>
        <v xml:space="preserve"> </v>
      </c>
      <c r="L37" s="34"/>
      <c r="M37" s="156" t="b">
        <v>0</v>
      </c>
      <c r="N37" s="156" t="b">
        <v>0</v>
      </c>
      <c r="O37" s="156" t="b">
        <v>0</v>
      </c>
      <c r="P37" s="67" t="str">
        <f t="shared" ca="1" si="3"/>
        <v>-</v>
      </c>
      <c r="Q37" s="64" t="str">
        <f t="shared" ca="1" si="2"/>
        <v/>
      </c>
      <c r="S37" s="165"/>
      <c r="T37" s="147"/>
      <c r="U37" s="57" t="s">
        <v>78</v>
      </c>
    </row>
    <row r="38" spans="1:21" ht="15" customHeight="1" x14ac:dyDescent="0.3">
      <c r="A38" s="116">
        <v>28</v>
      </c>
      <c r="B38" s="168"/>
      <c r="C38" s="169"/>
      <c r="D38" s="169"/>
      <c r="E38" s="85" t="s">
        <v>188</v>
      </c>
      <c r="F38" s="73" t="s">
        <v>84</v>
      </c>
      <c r="G38" s="73">
        <v>5</v>
      </c>
      <c r="H38" s="141"/>
      <c r="I38" s="142"/>
      <c r="J38" s="142"/>
      <c r="K38" s="61" t="str">
        <f t="shared" si="0"/>
        <v xml:space="preserve"> </v>
      </c>
      <c r="L38" s="34"/>
      <c r="M38" s="156" t="b">
        <v>0</v>
      </c>
      <c r="N38" s="156" t="b">
        <v>0</v>
      </c>
      <c r="O38" s="156" t="b">
        <v>0</v>
      </c>
      <c r="P38" s="67" t="str">
        <f t="shared" ca="1" si="3"/>
        <v>-</v>
      </c>
      <c r="Q38" s="64" t="str">
        <f t="shared" ca="1" si="2"/>
        <v/>
      </c>
      <c r="S38" s="165"/>
      <c r="T38" s="147"/>
      <c r="U38" s="57" t="s">
        <v>128</v>
      </c>
    </row>
    <row r="39" spans="1:21" ht="15" customHeight="1" x14ac:dyDescent="0.3">
      <c r="A39" s="116">
        <v>29</v>
      </c>
      <c r="B39" s="168"/>
      <c r="C39" s="169"/>
      <c r="D39" s="169"/>
      <c r="E39" s="85" t="s">
        <v>188</v>
      </c>
      <c r="F39" s="73" t="s">
        <v>84</v>
      </c>
      <c r="G39" s="73">
        <v>3</v>
      </c>
      <c r="H39" s="141"/>
      <c r="I39" s="142"/>
      <c r="J39" s="142"/>
      <c r="K39" s="61" t="str">
        <f t="shared" si="0"/>
        <v xml:space="preserve"> </v>
      </c>
      <c r="L39" s="34"/>
      <c r="M39" s="156" t="b">
        <v>0</v>
      </c>
      <c r="N39" s="156" t="b">
        <v>0</v>
      </c>
      <c r="O39" s="156" t="b">
        <v>0</v>
      </c>
      <c r="P39" s="67" t="str">
        <f t="shared" ca="1" si="3"/>
        <v>-</v>
      </c>
      <c r="Q39" s="64" t="str">
        <f t="shared" ca="1" si="2"/>
        <v/>
      </c>
      <c r="S39" s="165"/>
      <c r="T39" s="147"/>
      <c r="U39" s="57" t="s">
        <v>128</v>
      </c>
    </row>
    <row r="40" spans="1:21" ht="15" customHeight="1" x14ac:dyDescent="0.3">
      <c r="A40" s="116">
        <v>30</v>
      </c>
      <c r="B40" s="168"/>
      <c r="C40" s="169"/>
      <c r="D40" s="169"/>
      <c r="E40" s="85" t="s">
        <v>188</v>
      </c>
      <c r="F40" s="73" t="s">
        <v>84</v>
      </c>
      <c r="G40" s="73">
        <v>2</v>
      </c>
      <c r="H40" s="141"/>
      <c r="I40" s="142"/>
      <c r="J40" s="142"/>
      <c r="K40" s="61" t="str">
        <f t="shared" si="0"/>
        <v xml:space="preserve"> </v>
      </c>
      <c r="L40" s="34"/>
      <c r="M40" s="156" t="b">
        <v>0</v>
      </c>
      <c r="N40" s="156" t="b">
        <v>0</v>
      </c>
      <c r="O40" s="156" t="b">
        <v>0</v>
      </c>
      <c r="P40" s="67" t="str">
        <f t="shared" ca="1" si="3"/>
        <v>-</v>
      </c>
      <c r="Q40" s="64" t="str">
        <f t="shared" ca="1" si="2"/>
        <v/>
      </c>
      <c r="S40" s="165"/>
      <c r="T40" s="147"/>
      <c r="U40" s="57" t="s">
        <v>128</v>
      </c>
    </row>
    <row r="41" spans="1:21" ht="15" customHeight="1" x14ac:dyDescent="0.3">
      <c r="A41" s="116">
        <v>31</v>
      </c>
      <c r="B41" s="168"/>
      <c r="C41" s="169"/>
      <c r="D41" s="72" t="s">
        <v>19</v>
      </c>
      <c r="E41" s="79" t="s">
        <v>189</v>
      </c>
      <c r="F41" s="74" t="s">
        <v>151</v>
      </c>
      <c r="G41" s="74">
        <v>5</v>
      </c>
      <c r="H41" s="141"/>
      <c r="I41" s="142"/>
      <c r="J41" s="142"/>
      <c r="K41" s="61" t="str">
        <f t="shared" si="0"/>
        <v xml:space="preserve"> </v>
      </c>
      <c r="L41" s="34"/>
      <c r="M41" s="156" t="b">
        <v>0</v>
      </c>
      <c r="N41" s="156" t="b">
        <v>0</v>
      </c>
      <c r="O41" s="156" t="b">
        <v>0</v>
      </c>
      <c r="P41" s="67" t="str">
        <f t="shared" ca="1" si="3"/>
        <v>-</v>
      </c>
      <c r="Q41" s="64" t="str">
        <f t="shared" ca="1" si="2"/>
        <v/>
      </c>
      <c r="S41" s="165"/>
      <c r="T41" s="147"/>
      <c r="U41" s="57"/>
    </row>
    <row r="42" spans="1:21" ht="15" customHeight="1" x14ac:dyDescent="0.3">
      <c r="A42" s="116">
        <v>32</v>
      </c>
      <c r="B42" s="168"/>
      <c r="C42" s="169"/>
      <c r="D42" s="72" t="s">
        <v>152</v>
      </c>
      <c r="E42" s="79" t="s">
        <v>190</v>
      </c>
      <c r="F42" s="83" t="s">
        <v>5</v>
      </c>
      <c r="G42" s="72">
        <v>1</v>
      </c>
      <c r="H42" s="141"/>
      <c r="I42" s="142"/>
      <c r="J42" s="142"/>
      <c r="K42" s="61" t="str">
        <f t="shared" si="0"/>
        <v xml:space="preserve"> </v>
      </c>
      <c r="L42" s="34"/>
      <c r="M42" s="156" t="b">
        <v>0</v>
      </c>
      <c r="N42" s="156" t="b">
        <v>0</v>
      </c>
      <c r="O42" s="156" t="b">
        <v>0</v>
      </c>
      <c r="P42" s="67" t="str">
        <f t="shared" ca="1" si="3"/>
        <v>-</v>
      </c>
      <c r="Q42" s="64" t="str">
        <f t="shared" ca="1" si="2"/>
        <v/>
      </c>
      <c r="S42" s="165"/>
      <c r="T42" s="147"/>
      <c r="U42" s="57"/>
    </row>
    <row r="43" spans="1:21" ht="15" customHeight="1" x14ac:dyDescent="0.3">
      <c r="A43" s="116">
        <v>33</v>
      </c>
      <c r="B43" s="168"/>
      <c r="C43" s="169"/>
      <c r="D43" s="169" t="s">
        <v>178</v>
      </c>
      <c r="E43" s="85" t="s">
        <v>191</v>
      </c>
      <c r="F43" s="83" t="s">
        <v>82</v>
      </c>
      <c r="G43" s="72">
        <v>1</v>
      </c>
      <c r="H43" s="141"/>
      <c r="I43" s="142"/>
      <c r="J43" s="142"/>
      <c r="K43" s="61" t="str">
        <f t="shared" si="0"/>
        <v xml:space="preserve"> </v>
      </c>
      <c r="L43" s="34"/>
      <c r="M43" s="156" t="b">
        <v>0</v>
      </c>
      <c r="N43" s="156" t="b">
        <v>0</v>
      </c>
      <c r="O43" s="156" t="b">
        <v>0</v>
      </c>
      <c r="P43" s="67" t="str">
        <f t="shared" ca="1" si="3"/>
        <v>-</v>
      </c>
      <c r="Q43" s="64" t="str">
        <f t="shared" ca="1" si="2"/>
        <v/>
      </c>
      <c r="S43" s="165"/>
      <c r="T43" s="147"/>
      <c r="U43" s="57"/>
    </row>
    <row r="44" spans="1:21" ht="15" customHeight="1" x14ac:dyDescent="0.3">
      <c r="A44" s="116">
        <v>34</v>
      </c>
      <c r="B44" s="168"/>
      <c r="C44" s="169"/>
      <c r="D44" s="169"/>
      <c r="E44" s="85" t="s">
        <v>191</v>
      </c>
      <c r="F44" s="83" t="s">
        <v>81</v>
      </c>
      <c r="G44" s="72">
        <v>3</v>
      </c>
      <c r="H44" s="141"/>
      <c r="I44" s="142"/>
      <c r="J44" s="142"/>
      <c r="K44" s="61" t="str">
        <f t="shared" si="0"/>
        <v xml:space="preserve"> </v>
      </c>
      <c r="L44" s="34"/>
      <c r="M44" s="156" t="b">
        <v>0</v>
      </c>
      <c r="N44" s="156" t="b">
        <v>0</v>
      </c>
      <c r="O44" s="156" t="b">
        <v>0</v>
      </c>
      <c r="P44" s="67" t="str">
        <f t="shared" ca="1" si="3"/>
        <v>-</v>
      </c>
      <c r="Q44" s="64" t="str">
        <f t="shared" ca="1" si="2"/>
        <v/>
      </c>
      <c r="S44" s="165"/>
      <c r="T44" s="147"/>
      <c r="U44" s="57"/>
    </row>
    <row r="45" spans="1:21" ht="15" customHeight="1" x14ac:dyDescent="0.3">
      <c r="A45" s="116">
        <v>35</v>
      </c>
      <c r="B45" s="170">
        <v>5</v>
      </c>
      <c r="C45" s="171" t="s">
        <v>20</v>
      </c>
      <c r="D45" s="171" t="s">
        <v>21</v>
      </c>
      <c r="E45" s="86" t="s">
        <v>192</v>
      </c>
      <c r="F45" s="82" t="s">
        <v>5</v>
      </c>
      <c r="G45" s="69">
        <v>1</v>
      </c>
      <c r="H45" s="141"/>
      <c r="I45" s="142"/>
      <c r="J45" s="142"/>
      <c r="K45" s="61" t="str">
        <f t="shared" si="0"/>
        <v xml:space="preserve"> </v>
      </c>
      <c r="L45" s="34"/>
      <c r="M45" s="156" t="b">
        <v>0</v>
      </c>
      <c r="N45" s="156" t="b">
        <v>0</v>
      </c>
      <c r="O45" s="156" t="b">
        <v>0</v>
      </c>
      <c r="P45" s="67" t="str">
        <f t="shared" ca="1" si="3"/>
        <v>-</v>
      </c>
      <c r="Q45" s="64" t="str">
        <f t="shared" ca="1" si="2"/>
        <v/>
      </c>
      <c r="S45" s="165"/>
      <c r="T45" s="147"/>
      <c r="U45" s="57" t="s">
        <v>115</v>
      </c>
    </row>
    <row r="46" spans="1:21" ht="15" customHeight="1" x14ac:dyDescent="0.3">
      <c r="A46" s="116">
        <v>36</v>
      </c>
      <c r="B46" s="170"/>
      <c r="C46" s="171"/>
      <c r="D46" s="171"/>
      <c r="E46" s="86" t="s">
        <v>192</v>
      </c>
      <c r="F46" s="87" t="s">
        <v>26</v>
      </c>
      <c r="G46" s="69">
        <v>1</v>
      </c>
      <c r="H46" s="141"/>
      <c r="I46" s="142"/>
      <c r="J46" s="142"/>
      <c r="K46" s="61" t="str">
        <f t="shared" si="0"/>
        <v xml:space="preserve"> </v>
      </c>
      <c r="L46" s="34"/>
      <c r="M46" s="156" t="b">
        <v>0</v>
      </c>
      <c r="N46" s="156" t="b">
        <v>0</v>
      </c>
      <c r="O46" s="156" t="b">
        <v>0</v>
      </c>
      <c r="P46" s="67" t="str">
        <f t="shared" ca="1" si="3"/>
        <v>-</v>
      </c>
      <c r="Q46" s="64" t="str">
        <f t="shared" ca="1" si="2"/>
        <v/>
      </c>
      <c r="S46" s="165"/>
      <c r="T46" s="147"/>
      <c r="U46" s="57"/>
    </row>
    <row r="47" spans="1:21" ht="15" customHeight="1" x14ac:dyDescent="0.3">
      <c r="A47" s="116">
        <v>37</v>
      </c>
      <c r="B47" s="170"/>
      <c r="C47" s="171"/>
      <c r="D47" s="171"/>
      <c r="E47" s="86" t="s">
        <v>192</v>
      </c>
      <c r="F47" s="88" t="s">
        <v>24</v>
      </c>
      <c r="G47" s="69">
        <v>1</v>
      </c>
      <c r="H47" s="141"/>
      <c r="I47" s="142"/>
      <c r="J47" s="142"/>
      <c r="K47" s="61" t="str">
        <f t="shared" si="0"/>
        <v xml:space="preserve"> </v>
      </c>
      <c r="L47" s="34"/>
      <c r="M47" s="156" t="b">
        <v>0</v>
      </c>
      <c r="N47" s="156" t="b">
        <v>0</v>
      </c>
      <c r="O47" s="156" t="b">
        <v>0</v>
      </c>
      <c r="P47" s="67" t="str">
        <f t="shared" ca="1" si="3"/>
        <v>-</v>
      </c>
      <c r="Q47" s="64" t="str">
        <f t="shared" ca="1" si="2"/>
        <v/>
      </c>
      <c r="S47" s="165"/>
      <c r="T47" s="147"/>
      <c r="U47" s="57"/>
    </row>
    <row r="48" spans="1:21" ht="15" customHeight="1" x14ac:dyDescent="0.3">
      <c r="A48" s="116">
        <v>38</v>
      </c>
      <c r="B48" s="170"/>
      <c r="C48" s="171"/>
      <c r="D48" s="171" t="s">
        <v>22</v>
      </c>
      <c r="E48" s="86" t="s">
        <v>193</v>
      </c>
      <c r="F48" s="82" t="s">
        <v>5</v>
      </c>
      <c r="G48" s="69">
        <v>1</v>
      </c>
      <c r="H48" s="141"/>
      <c r="I48" s="142"/>
      <c r="J48" s="142"/>
      <c r="K48" s="61" t="str">
        <f t="shared" si="0"/>
        <v xml:space="preserve"> </v>
      </c>
      <c r="L48" s="34"/>
      <c r="M48" s="156" t="b">
        <v>0</v>
      </c>
      <c r="N48" s="156" t="b">
        <v>0</v>
      </c>
      <c r="O48" s="156" t="b">
        <v>0</v>
      </c>
      <c r="P48" s="67" t="str">
        <f t="shared" ca="1" si="3"/>
        <v>-</v>
      </c>
      <c r="Q48" s="64" t="str">
        <f t="shared" ca="1" si="2"/>
        <v/>
      </c>
      <c r="S48" s="165"/>
      <c r="T48" s="147"/>
      <c r="U48" s="57" t="s">
        <v>115</v>
      </c>
    </row>
    <row r="49" spans="1:21" ht="15" customHeight="1" x14ac:dyDescent="0.3">
      <c r="A49" s="116">
        <v>39</v>
      </c>
      <c r="B49" s="170"/>
      <c r="C49" s="171"/>
      <c r="D49" s="171"/>
      <c r="E49" s="86" t="s">
        <v>193</v>
      </c>
      <c r="F49" s="87" t="s">
        <v>26</v>
      </c>
      <c r="G49" s="69">
        <v>1</v>
      </c>
      <c r="H49" s="141"/>
      <c r="I49" s="142"/>
      <c r="J49" s="142"/>
      <c r="K49" s="61" t="str">
        <f t="shared" si="0"/>
        <v xml:space="preserve"> </v>
      </c>
      <c r="L49" s="34"/>
      <c r="M49" s="156" t="b">
        <v>0</v>
      </c>
      <c r="N49" s="156" t="b">
        <v>0</v>
      </c>
      <c r="O49" s="156" t="b">
        <v>0</v>
      </c>
      <c r="P49" s="67" t="str">
        <f t="shared" ca="1" si="3"/>
        <v>-</v>
      </c>
      <c r="Q49" s="64" t="str">
        <f t="shared" ca="1" si="2"/>
        <v/>
      </c>
      <c r="S49" s="165"/>
      <c r="T49" s="147"/>
      <c r="U49" s="57"/>
    </row>
    <row r="50" spans="1:21" ht="15" customHeight="1" x14ac:dyDescent="0.3">
      <c r="A50" s="116">
        <v>40</v>
      </c>
      <c r="B50" s="170"/>
      <c r="C50" s="171"/>
      <c r="D50" s="171"/>
      <c r="E50" s="86" t="s">
        <v>193</v>
      </c>
      <c r="F50" s="88" t="s">
        <v>24</v>
      </c>
      <c r="G50" s="69">
        <v>1</v>
      </c>
      <c r="H50" s="141"/>
      <c r="I50" s="142"/>
      <c r="J50" s="142"/>
      <c r="K50" s="61" t="str">
        <f t="shared" si="0"/>
        <v xml:space="preserve"> </v>
      </c>
      <c r="L50" s="34"/>
      <c r="M50" s="156" t="b">
        <v>0</v>
      </c>
      <c r="N50" s="156" t="b">
        <v>0</v>
      </c>
      <c r="O50" s="156" t="b">
        <v>0</v>
      </c>
      <c r="P50" s="67" t="str">
        <f t="shared" ca="1" si="3"/>
        <v>-</v>
      </c>
      <c r="Q50" s="64" t="str">
        <f t="shared" ca="1" si="2"/>
        <v/>
      </c>
      <c r="S50" s="165"/>
      <c r="T50" s="147"/>
      <c r="U50" s="57"/>
    </row>
    <row r="51" spans="1:21" ht="15" customHeight="1" x14ac:dyDescent="0.3">
      <c r="A51" s="116">
        <v>41</v>
      </c>
      <c r="B51" s="170"/>
      <c r="C51" s="171"/>
      <c r="D51" s="171" t="s">
        <v>22</v>
      </c>
      <c r="E51" s="86" t="s">
        <v>194</v>
      </c>
      <c r="F51" s="82" t="s">
        <v>5</v>
      </c>
      <c r="G51" s="69">
        <v>1</v>
      </c>
      <c r="H51" s="141"/>
      <c r="I51" s="142"/>
      <c r="J51" s="142"/>
      <c r="K51" s="61" t="str">
        <f t="shared" si="0"/>
        <v xml:space="preserve"> </v>
      </c>
      <c r="L51" s="34"/>
      <c r="M51" s="156" t="b">
        <v>0</v>
      </c>
      <c r="N51" s="156" t="b">
        <v>0</v>
      </c>
      <c r="O51" s="156" t="b">
        <v>0</v>
      </c>
      <c r="P51" s="67" t="str">
        <f t="shared" ca="1" si="3"/>
        <v>-</v>
      </c>
      <c r="Q51" s="64" t="str">
        <f t="shared" ca="1" si="2"/>
        <v/>
      </c>
      <c r="S51" s="165"/>
      <c r="T51" s="147"/>
      <c r="U51" s="57" t="s">
        <v>115</v>
      </c>
    </row>
    <row r="52" spans="1:21" ht="15" customHeight="1" x14ac:dyDescent="0.3">
      <c r="A52" s="116">
        <v>42</v>
      </c>
      <c r="B52" s="170"/>
      <c r="C52" s="171"/>
      <c r="D52" s="171"/>
      <c r="E52" s="86" t="s">
        <v>194</v>
      </c>
      <c r="F52" s="87" t="s">
        <v>26</v>
      </c>
      <c r="G52" s="69">
        <v>1</v>
      </c>
      <c r="H52" s="141"/>
      <c r="I52" s="142"/>
      <c r="J52" s="142"/>
      <c r="K52" s="61" t="str">
        <f t="shared" si="0"/>
        <v xml:space="preserve"> </v>
      </c>
      <c r="L52" s="34"/>
      <c r="M52" s="156" t="b">
        <v>0</v>
      </c>
      <c r="N52" s="156" t="b">
        <v>0</v>
      </c>
      <c r="O52" s="156" t="b">
        <v>0</v>
      </c>
      <c r="P52" s="67" t="str">
        <f t="shared" ca="1" si="3"/>
        <v>-</v>
      </c>
      <c r="Q52" s="64" t="str">
        <f t="shared" ca="1" si="2"/>
        <v/>
      </c>
      <c r="S52" s="165"/>
      <c r="T52" s="147"/>
      <c r="U52" s="57"/>
    </row>
    <row r="53" spans="1:21" ht="15" customHeight="1" x14ac:dyDescent="0.3">
      <c r="A53" s="116">
        <v>43</v>
      </c>
      <c r="B53" s="170"/>
      <c r="C53" s="171"/>
      <c r="D53" s="171"/>
      <c r="E53" s="86" t="s">
        <v>194</v>
      </c>
      <c r="F53" s="88" t="s">
        <v>24</v>
      </c>
      <c r="G53" s="69">
        <v>1</v>
      </c>
      <c r="H53" s="141"/>
      <c r="I53" s="142"/>
      <c r="J53" s="142"/>
      <c r="K53" s="61" t="str">
        <f t="shared" si="0"/>
        <v xml:space="preserve"> </v>
      </c>
      <c r="L53" s="34"/>
      <c r="M53" s="156" t="b">
        <v>0</v>
      </c>
      <c r="N53" s="156" t="b">
        <v>0</v>
      </c>
      <c r="O53" s="156" t="b">
        <v>0</v>
      </c>
      <c r="P53" s="67" t="str">
        <f t="shared" ca="1" si="3"/>
        <v>-</v>
      </c>
      <c r="Q53" s="64" t="str">
        <f t="shared" ca="1" si="2"/>
        <v/>
      </c>
      <c r="S53" s="165"/>
      <c r="T53" s="147"/>
      <c r="U53" s="57"/>
    </row>
    <row r="54" spans="1:21" ht="15" customHeight="1" x14ac:dyDescent="0.3">
      <c r="A54" s="116">
        <v>44</v>
      </c>
      <c r="B54" s="170"/>
      <c r="C54" s="171"/>
      <c r="D54" s="69" t="s">
        <v>23</v>
      </c>
      <c r="E54" s="80" t="s">
        <v>195</v>
      </c>
      <c r="F54" s="88" t="s">
        <v>24</v>
      </c>
      <c r="G54" s="69">
        <v>1</v>
      </c>
      <c r="H54" s="143"/>
      <c r="I54" s="142"/>
      <c r="J54" s="142"/>
      <c r="K54" s="62" t="str">
        <f t="shared" si="0"/>
        <v xml:space="preserve"> </v>
      </c>
      <c r="L54" s="34"/>
      <c r="M54" s="157" t="b">
        <v>0</v>
      </c>
      <c r="N54" s="157" t="b">
        <v>0</v>
      </c>
      <c r="O54" s="157" t="b">
        <v>0</v>
      </c>
      <c r="P54" s="67" t="str">
        <f t="shared" ca="1" si="3"/>
        <v>-</v>
      </c>
      <c r="Q54" s="64" t="str">
        <f t="shared" ca="1" si="2"/>
        <v/>
      </c>
      <c r="S54" s="166"/>
      <c r="T54" s="147"/>
      <c r="U54" s="57" t="s">
        <v>116</v>
      </c>
    </row>
    <row r="55" spans="1:21" ht="15" customHeight="1" x14ac:dyDescent="0.3">
      <c r="A55" s="116">
        <v>45</v>
      </c>
      <c r="B55" s="170"/>
      <c r="C55" s="171"/>
      <c r="D55" s="171" t="s">
        <v>25</v>
      </c>
      <c r="E55" s="86" t="s">
        <v>196</v>
      </c>
      <c r="F55" s="87" t="s">
        <v>26</v>
      </c>
      <c r="G55" s="75" t="s">
        <v>53</v>
      </c>
      <c r="H55" s="144"/>
      <c r="I55" s="145"/>
      <c r="J55" s="145"/>
      <c r="K55" s="63" t="str">
        <f t="shared" si="0"/>
        <v xml:space="preserve"> </v>
      </c>
      <c r="L55" s="34"/>
      <c r="M55" s="158" t="b">
        <v>0</v>
      </c>
      <c r="N55" s="158" t="b">
        <v>0</v>
      </c>
      <c r="O55" s="158" t="b">
        <v>0</v>
      </c>
      <c r="P55" s="67" t="str">
        <f t="shared" ca="1" si="3"/>
        <v>-</v>
      </c>
      <c r="Q55" s="64" t="str">
        <f t="shared" ref="Q55:Q94" ca="1" si="4">REPT("██",IF(P55="Favorable",1,IF(P55="Condicionado",2,IF(P55="PTE.",3,IF(P55="desfavorable",4,"0")))))</f>
        <v/>
      </c>
      <c r="S55" s="167"/>
      <c r="T55" s="148"/>
      <c r="U55" s="57" t="s">
        <v>155</v>
      </c>
    </row>
    <row r="56" spans="1:21" ht="15" customHeight="1" x14ac:dyDescent="0.3">
      <c r="A56" s="116">
        <v>46</v>
      </c>
      <c r="B56" s="170"/>
      <c r="C56" s="171"/>
      <c r="D56" s="171"/>
      <c r="E56" s="86" t="s">
        <v>196</v>
      </c>
      <c r="F56" s="88" t="s">
        <v>83</v>
      </c>
      <c r="G56" s="75" t="s">
        <v>6</v>
      </c>
      <c r="H56" s="144"/>
      <c r="I56" s="145"/>
      <c r="J56" s="145"/>
      <c r="K56" s="63" t="str">
        <f t="shared" si="0"/>
        <v xml:space="preserve"> </v>
      </c>
      <c r="L56" s="34"/>
      <c r="M56" s="158" t="b">
        <v>0</v>
      </c>
      <c r="N56" s="158" t="b">
        <v>0</v>
      </c>
      <c r="O56" s="158" t="b">
        <v>0</v>
      </c>
      <c r="P56" s="67" t="str">
        <f t="shared" ca="1" si="3"/>
        <v>-</v>
      </c>
      <c r="Q56" s="64" t="str">
        <f t="shared" ca="1" si="4"/>
        <v/>
      </c>
      <c r="S56" s="167"/>
      <c r="T56" s="148"/>
      <c r="U56" s="57"/>
    </row>
    <row r="57" spans="1:21" ht="15" customHeight="1" x14ac:dyDescent="0.3">
      <c r="A57" s="116">
        <v>47</v>
      </c>
      <c r="B57" s="170"/>
      <c r="C57" s="171"/>
      <c r="D57" s="171"/>
      <c r="E57" s="86" t="s">
        <v>196</v>
      </c>
      <c r="F57" s="88" t="s">
        <v>86</v>
      </c>
      <c r="G57" s="75" t="s">
        <v>55</v>
      </c>
      <c r="H57" s="144"/>
      <c r="I57" s="145"/>
      <c r="J57" s="145"/>
      <c r="K57" s="63" t="str">
        <f t="shared" si="0"/>
        <v xml:space="preserve"> </v>
      </c>
      <c r="L57" s="34"/>
      <c r="M57" s="158" t="b">
        <v>0</v>
      </c>
      <c r="N57" s="158" t="b">
        <v>0</v>
      </c>
      <c r="O57" s="158" t="b">
        <v>0</v>
      </c>
      <c r="P57" s="67" t="str">
        <f t="shared" ca="1" si="3"/>
        <v>-</v>
      </c>
      <c r="Q57" s="64" t="str">
        <f t="shared" ca="1" si="4"/>
        <v/>
      </c>
      <c r="S57" s="167"/>
      <c r="T57" s="148"/>
      <c r="U57" s="57"/>
    </row>
    <row r="58" spans="1:21" ht="15" customHeight="1" x14ac:dyDescent="0.3">
      <c r="A58" s="116">
        <v>48</v>
      </c>
      <c r="B58" s="170"/>
      <c r="C58" s="171"/>
      <c r="D58" s="171"/>
      <c r="E58" s="86" t="s">
        <v>196</v>
      </c>
      <c r="F58" s="88" t="s">
        <v>85</v>
      </c>
      <c r="G58" s="75" t="s">
        <v>55</v>
      </c>
      <c r="H58" s="144"/>
      <c r="I58" s="145"/>
      <c r="J58" s="145"/>
      <c r="K58" s="63" t="str">
        <f t="shared" si="0"/>
        <v xml:space="preserve"> </v>
      </c>
      <c r="L58" s="34"/>
      <c r="M58" s="158" t="b">
        <v>0</v>
      </c>
      <c r="N58" s="158" t="b">
        <v>0</v>
      </c>
      <c r="O58" s="158" t="b">
        <v>0</v>
      </c>
      <c r="P58" s="67" t="str">
        <f t="shared" ca="1" si="3"/>
        <v>-</v>
      </c>
      <c r="Q58" s="64" t="str">
        <f t="shared" ca="1" si="4"/>
        <v/>
      </c>
      <c r="S58" s="167"/>
      <c r="T58" s="148"/>
      <c r="U58" s="57"/>
    </row>
    <row r="59" spans="1:21" ht="15" customHeight="1" x14ac:dyDescent="0.3">
      <c r="A59" s="116">
        <v>49</v>
      </c>
      <c r="B59" s="170"/>
      <c r="C59" s="171"/>
      <c r="D59" s="171"/>
      <c r="E59" s="86" t="s">
        <v>196</v>
      </c>
      <c r="F59" s="82" t="s">
        <v>5</v>
      </c>
      <c r="G59" s="75" t="s">
        <v>54</v>
      </c>
      <c r="H59" s="144"/>
      <c r="I59" s="145"/>
      <c r="J59" s="145"/>
      <c r="K59" s="63" t="str">
        <f t="shared" si="0"/>
        <v xml:space="preserve"> </v>
      </c>
      <c r="L59" s="34"/>
      <c r="M59" s="158" t="b">
        <v>0</v>
      </c>
      <c r="N59" s="158" t="b">
        <v>0</v>
      </c>
      <c r="O59" s="158" t="b">
        <v>0</v>
      </c>
      <c r="P59" s="67" t="str">
        <f t="shared" ca="1" si="3"/>
        <v>-</v>
      </c>
      <c r="Q59" s="64" t="str">
        <f t="shared" ca="1" si="4"/>
        <v/>
      </c>
      <c r="S59" s="167"/>
      <c r="T59" s="148"/>
      <c r="U59" s="57"/>
    </row>
    <row r="60" spans="1:21" ht="15" customHeight="1" x14ac:dyDescent="0.3">
      <c r="A60" s="116">
        <v>50</v>
      </c>
      <c r="B60" s="71">
        <v>6</v>
      </c>
      <c r="C60" s="72" t="s">
        <v>27</v>
      </c>
      <c r="D60" s="72">
        <v>6</v>
      </c>
      <c r="E60" s="79" t="s">
        <v>47</v>
      </c>
      <c r="F60" s="83" t="s">
        <v>5</v>
      </c>
      <c r="G60" s="76">
        <v>1</v>
      </c>
      <c r="H60" s="144"/>
      <c r="I60" s="145"/>
      <c r="J60" s="142"/>
      <c r="K60" s="63" t="str">
        <f t="shared" si="0"/>
        <v xml:space="preserve"> </v>
      </c>
      <c r="L60" s="34"/>
      <c r="M60" s="158" t="b">
        <v>0</v>
      </c>
      <c r="N60" s="158" t="b">
        <v>0</v>
      </c>
      <c r="O60" s="158" t="b">
        <v>0</v>
      </c>
      <c r="P60" s="67" t="str">
        <f t="shared" ca="1" si="3"/>
        <v>-</v>
      </c>
      <c r="Q60" s="64" t="str">
        <f t="shared" ca="1" si="4"/>
        <v/>
      </c>
      <c r="S60" s="167"/>
      <c r="T60" s="148"/>
      <c r="U60" s="57" t="s">
        <v>117</v>
      </c>
    </row>
    <row r="61" spans="1:21" ht="15" customHeight="1" x14ac:dyDescent="0.3">
      <c r="A61" s="116">
        <v>51</v>
      </c>
      <c r="B61" s="170">
        <v>7</v>
      </c>
      <c r="C61" s="171" t="s">
        <v>314</v>
      </c>
      <c r="D61" s="69" t="s">
        <v>28</v>
      </c>
      <c r="E61" s="80" t="s">
        <v>197</v>
      </c>
      <c r="F61" s="82" t="s">
        <v>5</v>
      </c>
      <c r="G61" s="75">
        <v>1</v>
      </c>
      <c r="H61" s="144"/>
      <c r="I61" s="145"/>
      <c r="J61" s="145"/>
      <c r="K61" s="63" t="str">
        <f t="shared" si="0"/>
        <v xml:space="preserve"> </v>
      </c>
      <c r="L61" s="34"/>
      <c r="M61" s="158" t="b">
        <v>0</v>
      </c>
      <c r="N61" s="158" t="b">
        <v>0</v>
      </c>
      <c r="O61" s="158" t="b">
        <v>0</v>
      </c>
      <c r="P61" s="67" t="str">
        <f t="shared" ca="1" si="3"/>
        <v>-</v>
      </c>
      <c r="Q61" s="64" t="str">
        <f t="shared" ca="1" si="4"/>
        <v/>
      </c>
      <c r="S61" s="167"/>
      <c r="T61" s="148"/>
      <c r="U61" s="57" t="s">
        <v>132</v>
      </c>
    </row>
    <row r="62" spans="1:21" ht="15" customHeight="1" x14ac:dyDescent="0.3">
      <c r="A62" s="116">
        <v>52</v>
      </c>
      <c r="B62" s="170"/>
      <c r="C62" s="171"/>
      <c r="D62" s="69" t="s">
        <v>29</v>
      </c>
      <c r="E62" s="80" t="s">
        <v>198</v>
      </c>
      <c r="F62" s="82" t="s">
        <v>5</v>
      </c>
      <c r="G62" s="75">
        <v>1</v>
      </c>
      <c r="H62" s="144"/>
      <c r="I62" s="145"/>
      <c r="J62" s="145"/>
      <c r="K62" s="63" t="str">
        <f t="shared" si="0"/>
        <v xml:space="preserve"> </v>
      </c>
      <c r="L62" s="34"/>
      <c r="M62" s="158" t="b">
        <v>0</v>
      </c>
      <c r="N62" s="158" t="b">
        <v>0</v>
      </c>
      <c r="O62" s="158" t="b">
        <v>0</v>
      </c>
      <c r="P62" s="67" t="str">
        <f t="shared" ca="1" si="3"/>
        <v>-</v>
      </c>
      <c r="Q62" s="64" t="str">
        <f t="shared" ca="1" si="4"/>
        <v/>
      </c>
      <c r="S62" s="167"/>
      <c r="T62" s="148"/>
      <c r="U62" s="57"/>
    </row>
    <row r="63" spans="1:21" ht="15" customHeight="1" x14ac:dyDescent="0.3">
      <c r="A63" s="116">
        <v>53</v>
      </c>
      <c r="B63" s="170"/>
      <c r="C63" s="171"/>
      <c r="D63" s="69" t="s">
        <v>30</v>
      </c>
      <c r="E63" s="80" t="s">
        <v>199</v>
      </c>
      <c r="F63" s="70" t="s">
        <v>90</v>
      </c>
      <c r="G63" s="77">
        <v>4</v>
      </c>
      <c r="H63" s="144"/>
      <c r="I63" s="145"/>
      <c r="J63" s="145"/>
      <c r="K63" s="63" t="str">
        <f t="shared" si="0"/>
        <v xml:space="preserve"> </v>
      </c>
      <c r="L63" s="34"/>
      <c r="M63" s="158" t="b">
        <v>0</v>
      </c>
      <c r="N63" s="158" t="b">
        <v>0</v>
      </c>
      <c r="O63" s="158" t="b">
        <v>0</v>
      </c>
      <c r="P63" s="67" t="str">
        <f t="shared" ca="1" si="3"/>
        <v>-</v>
      </c>
      <c r="Q63" s="64" t="str">
        <f t="shared" ca="1" si="4"/>
        <v/>
      </c>
      <c r="S63" s="167"/>
      <c r="T63" s="148"/>
      <c r="U63" s="57" t="s">
        <v>210</v>
      </c>
    </row>
    <row r="64" spans="1:21" ht="15" customHeight="1" x14ac:dyDescent="0.3">
      <c r="A64" s="116">
        <v>54</v>
      </c>
      <c r="B64" s="170"/>
      <c r="C64" s="171"/>
      <c r="D64" s="171" t="s">
        <v>31</v>
      </c>
      <c r="E64" s="86" t="s">
        <v>200</v>
      </c>
      <c r="F64" s="70" t="s">
        <v>91</v>
      </c>
      <c r="G64" s="77">
        <v>4</v>
      </c>
      <c r="H64" s="144"/>
      <c r="I64" s="145"/>
      <c r="J64" s="145"/>
      <c r="K64" s="63" t="str">
        <f t="shared" si="0"/>
        <v xml:space="preserve"> </v>
      </c>
      <c r="L64" s="34"/>
      <c r="M64" s="158" t="b">
        <v>0</v>
      </c>
      <c r="N64" s="158" t="b">
        <v>0</v>
      </c>
      <c r="O64" s="158" t="b">
        <v>0</v>
      </c>
      <c r="P64" s="67" t="str">
        <f t="shared" ca="1" si="3"/>
        <v>-</v>
      </c>
      <c r="Q64" s="64" t="str">
        <f t="shared" ca="1" si="4"/>
        <v/>
      </c>
      <c r="S64" s="167"/>
      <c r="T64" s="148"/>
      <c r="U64" s="57" t="s">
        <v>209</v>
      </c>
    </row>
    <row r="65" spans="1:21" ht="15" customHeight="1" x14ac:dyDescent="0.3">
      <c r="A65" s="116">
        <v>55</v>
      </c>
      <c r="B65" s="170"/>
      <c r="C65" s="171"/>
      <c r="D65" s="171"/>
      <c r="E65" s="86" t="s">
        <v>200</v>
      </c>
      <c r="F65" s="70" t="s">
        <v>92</v>
      </c>
      <c r="G65" s="77">
        <v>4</v>
      </c>
      <c r="H65" s="144"/>
      <c r="I65" s="145"/>
      <c r="J65" s="145"/>
      <c r="K65" s="63" t="str">
        <f t="shared" si="0"/>
        <v xml:space="preserve"> </v>
      </c>
      <c r="L65" s="34"/>
      <c r="M65" s="158" t="b">
        <v>0</v>
      </c>
      <c r="N65" s="158" t="b">
        <v>0</v>
      </c>
      <c r="O65" s="158" t="b">
        <v>0</v>
      </c>
      <c r="P65" s="67" t="str">
        <f t="shared" ca="1" si="3"/>
        <v>-</v>
      </c>
      <c r="Q65" s="64" t="str">
        <f t="shared" ca="1" si="4"/>
        <v/>
      </c>
      <c r="S65" s="167"/>
      <c r="T65" s="148"/>
      <c r="U65" s="57"/>
    </row>
    <row r="66" spans="1:21" ht="15" customHeight="1" x14ac:dyDescent="0.3">
      <c r="A66" s="116">
        <v>56</v>
      </c>
      <c r="B66" s="170"/>
      <c r="C66" s="171"/>
      <c r="D66" s="171"/>
      <c r="E66" s="86" t="s">
        <v>200</v>
      </c>
      <c r="F66" s="70" t="s">
        <v>93</v>
      </c>
      <c r="G66" s="77">
        <v>2</v>
      </c>
      <c r="H66" s="144"/>
      <c r="I66" s="145"/>
      <c r="J66" s="145"/>
      <c r="K66" s="63" t="str">
        <f t="shared" si="0"/>
        <v xml:space="preserve"> </v>
      </c>
      <c r="L66" s="34"/>
      <c r="M66" s="158" t="b">
        <v>0</v>
      </c>
      <c r="N66" s="158" t="b">
        <v>0</v>
      </c>
      <c r="O66" s="158" t="b">
        <v>0</v>
      </c>
      <c r="P66" s="67" t="str">
        <f t="shared" ca="1" si="3"/>
        <v>-</v>
      </c>
      <c r="Q66" s="64" t="str">
        <f t="shared" ca="1" si="4"/>
        <v/>
      </c>
      <c r="S66" s="167"/>
      <c r="T66" s="148"/>
      <c r="U66" s="57" t="s">
        <v>131</v>
      </c>
    </row>
    <row r="67" spans="1:21" ht="15" customHeight="1" x14ac:dyDescent="0.3">
      <c r="A67" s="116">
        <v>57</v>
      </c>
      <c r="B67" s="170"/>
      <c r="C67" s="171"/>
      <c r="D67" s="69" t="s">
        <v>32</v>
      </c>
      <c r="E67" s="80" t="s">
        <v>201</v>
      </c>
      <c r="F67" s="82" t="s">
        <v>5</v>
      </c>
      <c r="G67" s="75">
        <v>1</v>
      </c>
      <c r="H67" s="144"/>
      <c r="I67" s="145"/>
      <c r="J67" s="145"/>
      <c r="K67" s="63" t="str">
        <f t="shared" si="0"/>
        <v xml:space="preserve"> </v>
      </c>
      <c r="L67" s="34"/>
      <c r="M67" s="158" t="b">
        <v>0</v>
      </c>
      <c r="N67" s="158" t="b">
        <v>0</v>
      </c>
      <c r="O67" s="158" t="b">
        <v>0</v>
      </c>
      <c r="P67" s="67" t="str">
        <f t="shared" ca="1" si="3"/>
        <v>-</v>
      </c>
      <c r="Q67" s="64" t="str">
        <f t="shared" ca="1" si="4"/>
        <v/>
      </c>
      <c r="S67" s="167"/>
      <c r="T67" s="148"/>
      <c r="U67" s="57" t="s">
        <v>114</v>
      </c>
    </row>
    <row r="68" spans="1:21" ht="15" customHeight="1" x14ac:dyDescent="0.3">
      <c r="A68" s="116">
        <v>58</v>
      </c>
      <c r="B68" s="170"/>
      <c r="C68" s="171"/>
      <c r="D68" s="69" t="s">
        <v>33</v>
      </c>
      <c r="E68" s="80" t="s">
        <v>202</v>
      </c>
      <c r="F68" s="70" t="s">
        <v>94</v>
      </c>
      <c r="G68" s="77">
        <v>15</v>
      </c>
      <c r="H68" s="144"/>
      <c r="I68" s="145"/>
      <c r="J68" s="145"/>
      <c r="K68" s="63" t="str">
        <f t="shared" si="0"/>
        <v xml:space="preserve"> </v>
      </c>
      <c r="L68" s="34"/>
      <c r="M68" s="158" t="b">
        <v>0</v>
      </c>
      <c r="N68" s="158" t="b">
        <v>0</v>
      </c>
      <c r="O68" s="158" t="b">
        <v>0</v>
      </c>
      <c r="P68" s="67" t="str">
        <f t="shared" ca="1" si="3"/>
        <v>-</v>
      </c>
      <c r="Q68" s="64" t="str">
        <f t="shared" ca="1" si="4"/>
        <v/>
      </c>
      <c r="S68" s="167"/>
      <c r="T68" s="148"/>
      <c r="U68" s="57" t="s">
        <v>131</v>
      </c>
    </row>
    <row r="69" spans="1:21" ht="15" customHeight="1" x14ac:dyDescent="0.3">
      <c r="A69" s="116">
        <v>59</v>
      </c>
      <c r="B69" s="71">
        <v>8</v>
      </c>
      <c r="C69" s="72" t="s">
        <v>34</v>
      </c>
      <c r="D69" s="72">
        <v>8</v>
      </c>
      <c r="E69" s="79" t="s">
        <v>203</v>
      </c>
      <c r="F69" s="73" t="s">
        <v>35</v>
      </c>
      <c r="G69" s="78">
        <v>1</v>
      </c>
      <c r="H69" s="144"/>
      <c r="I69" s="145"/>
      <c r="J69" s="142"/>
      <c r="K69" s="63" t="str">
        <f t="shared" si="0"/>
        <v xml:space="preserve"> </v>
      </c>
      <c r="L69" s="34"/>
      <c r="M69" s="158" t="b">
        <v>0</v>
      </c>
      <c r="N69" s="158" t="b">
        <v>0</v>
      </c>
      <c r="O69" s="158" t="b">
        <v>0</v>
      </c>
      <c r="P69" s="67" t="str">
        <f t="shared" ca="1" si="3"/>
        <v>-</v>
      </c>
      <c r="Q69" s="64" t="str">
        <f t="shared" ca="1" si="4"/>
        <v/>
      </c>
      <c r="S69" s="167"/>
      <c r="T69" s="148"/>
      <c r="U69" s="57"/>
    </row>
    <row r="70" spans="1:21" ht="15" customHeight="1" x14ac:dyDescent="0.3">
      <c r="A70" s="116">
        <v>60</v>
      </c>
      <c r="B70" s="68">
        <v>9</v>
      </c>
      <c r="C70" s="69" t="s">
        <v>87</v>
      </c>
      <c r="D70" s="69">
        <v>9</v>
      </c>
      <c r="E70" s="80" t="s">
        <v>36</v>
      </c>
      <c r="F70" s="82" t="s">
        <v>5</v>
      </c>
      <c r="G70" s="75">
        <v>1</v>
      </c>
      <c r="H70" s="144"/>
      <c r="I70" s="145"/>
      <c r="J70" s="145"/>
      <c r="K70" s="63" t="str">
        <f t="shared" si="0"/>
        <v xml:space="preserve"> </v>
      </c>
      <c r="L70" s="34"/>
      <c r="M70" s="158" t="b">
        <v>0</v>
      </c>
      <c r="N70" s="158" t="b">
        <v>0</v>
      </c>
      <c r="O70" s="158" t="b">
        <v>0</v>
      </c>
      <c r="P70" s="67" t="str">
        <f t="shared" ca="1" si="3"/>
        <v>-</v>
      </c>
      <c r="Q70" s="64" t="str">
        <f t="shared" ca="1" si="4"/>
        <v/>
      </c>
      <c r="S70" s="167"/>
      <c r="T70" s="148"/>
      <c r="U70" s="57" t="s">
        <v>113</v>
      </c>
    </row>
    <row r="71" spans="1:21" ht="15" customHeight="1" x14ac:dyDescent="0.3">
      <c r="A71" s="116">
        <v>61</v>
      </c>
      <c r="B71" s="71">
        <v>10</v>
      </c>
      <c r="C71" s="72" t="s">
        <v>37</v>
      </c>
      <c r="D71" s="72">
        <v>10</v>
      </c>
      <c r="E71" s="79" t="s">
        <v>37</v>
      </c>
      <c r="F71" s="83" t="s">
        <v>5</v>
      </c>
      <c r="G71" s="76">
        <v>1</v>
      </c>
      <c r="H71" s="144"/>
      <c r="I71" s="145"/>
      <c r="J71" s="142"/>
      <c r="K71" s="63" t="str">
        <f t="shared" si="0"/>
        <v xml:space="preserve"> </v>
      </c>
      <c r="L71" s="34"/>
      <c r="M71" s="158" t="b">
        <v>0</v>
      </c>
      <c r="N71" s="158" t="b">
        <v>0</v>
      </c>
      <c r="O71" s="158" t="b">
        <v>0</v>
      </c>
      <c r="P71" s="67" t="str">
        <f t="shared" ca="1" si="3"/>
        <v>-</v>
      </c>
      <c r="Q71" s="64" t="str">
        <f t="shared" ca="1" si="4"/>
        <v/>
      </c>
      <c r="S71" s="167"/>
      <c r="T71" s="148"/>
      <c r="U71" s="57"/>
    </row>
    <row r="72" spans="1:21" ht="15" customHeight="1" x14ac:dyDescent="0.3">
      <c r="A72" s="116">
        <v>62</v>
      </c>
      <c r="B72" s="68">
        <v>11</v>
      </c>
      <c r="C72" s="69" t="s">
        <v>88</v>
      </c>
      <c r="D72" s="69">
        <v>11</v>
      </c>
      <c r="E72" s="80" t="s">
        <v>204</v>
      </c>
      <c r="F72" s="89" t="s">
        <v>38</v>
      </c>
      <c r="G72" s="75">
        <v>1</v>
      </c>
      <c r="H72" s="144"/>
      <c r="I72" s="145"/>
      <c r="J72" s="142"/>
      <c r="K72" s="63" t="str">
        <f t="shared" si="0"/>
        <v xml:space="preserve"> </v>
      </c>
      <c r="L72" s="34"/>
      <c r="M72" s="158" t="b">
        <v>0</v>
      </c>
      <c r="N72" s="158" t="b">
        <v>0</v>
      </c>
      <c r="O72" s="158" t="b">
        <v>0</v>
      </c>
      <c r="P72" s="67" t="str">
        <f t="shared" ca="1" si="3"/>
        <v>-</v>
      </c>
      <c r="Q72" s="64" t="str">
        <f t="shared" ca="1" si="4"/>
        <v/>
      </c>
      <c r="S72" s="167"/>
      <c r="T72" s="148"/>
      <c r="U72" s="57" t="s">
        <v>112</v>
      </c>
    </row>
    <row r="73" spans="1:21" ht="15" customHeight="1" x14ac:dyDescent="0.3">
      <c r="A73" s="116">
        <v>63</v>
      </c>
      <c r="B73" s="71">
        <v>12</v>
      </c>
      <c r="C73" s="72" t="s">
        <v>39</v>
      </c>
      <c r="D73" s="72">
        <v>12</v>
      </c>
      <c r="E73" s="79" t="s">
        <v>205</v>
      </c>
      <c r="F73" s="90" t="s">
        <v>38</v>
      </c>
      <c r="G73" s="76">
        <v>1</v>
      </c>
      <c r="H73" s="144"/>
      <c r="I73" s="145"/>
      <c r="J73" s="142"/>
      <c r="K73" s="63" t="str">
        <f t="shared" si="0"/>
        <v xml:space="preserve"> </v>
      </c>
      <c r="L73" s="34"/>
      <c r="M73" s="158" t="b">
        <v>0</v>
      </c>
      <c r="N73" s="158" t="b">
        <v>0</v>
      </c>
      <c r="O73" s="158" t="b">
        <v>0</v>
      </c>
      <c r="P73" s="67" t="str">
        <f t="shared" ca="1" si="3"/>
        <v>-</v>
      </c>
      <c r="Q73" s="64" t="str">
        <f t="shared" ca="1" si="4"/>
        <v/>
      </c>
      <c r="S73" s="167"/>
      <c r="T73" s="148"/>
      <c r="U73" s="57"/>
    </row>
    <row r="74" spans="1:21" ht="15" customHeight="1" x14ac:dyDescent="0.3">
      <c r="A74" s="116">
        <v>64</v>
      </c>
      <c r="B74" s="68">
        <v>13</v>
      </c>
      <c r="C74" s="69" t="s">
        <v>89</v>
      </c>
      <c r="D74" s="69">
        <v>13</v>
      </c>
      <c r="E74" s="80" t="s">
        <v>48</v>
      </c>
      <c r="F74" s="82" t="s">
        <v>5</v>
      </c>
      <c r="G74" s="75" t="s">
        <v>53</v>
      </c>
      <c r="H74" s="144"/>
      <c r="I74" s="145"/>
      <c r="J74" s="145"/>
      <c r="K74" s="63" t="str">
        <f t="shared" si="0"/>
        <v xml:space="preserve"> </v>
      </c>
      <c r="L74" s="34"/>
      <c r="M74" s="158" t="b">
        <v>0</v>
      </c>
      <c r="N74" s="158" t="b">
        <v>0</v>
      </c>
      <c r="O74" s="158" t="b">
        <v>0</v>
      </c>
      <c r="P74" s="67" t="str">
        <f t="shared" ca="1" si="3"/>
        <v>-</v>
      </c>
      <c r="Q74" s="64" t="str">
        <f t="shared" ca="1" si="4"/>
        <v/>
      </c>
      <c r="S74" s="167"/>
      <c r="T74" s="148"/>
      <c r="U74" s="57" t="s">
        <v>111</v>
      </c>
    </row>
    <row r="75" spans="1:21" ht="15" customHeight="1" x14ac:dyDescent="0.3">
      <c r="A75" s="116">
        <v>65</v>
      </c>
      <c r="B75" s="71">
        <v>14</v>
      </c>
      <c r="C75" s="72" t="s">
        <v>40</v>
      </c>
      <c r="D75" s="72">
        <v>14</v>
      </c>
      <c r="E75" s="79" t="s">
        <v>206</v>
      </c>
      <c r="F75" s="91" t="s">
        <v>97</v>
      </c>
      <c r="G75" s="76">
        <v>10</v>
      </c>
      <c r="H75" s="144"/>
      <c r="I75" s="145"/>
      <c r="J75" s="142"/>
      <c r="K75" s="63" t="str">
        <f t="shared" ref="K75:K94" si="5">IF(OR(J75="-",J75="")," ",IF(ISNUMBER(G75),J75+(365*G75),IF(G75="Mensual",J75+30,IF(G75="Trimestral",J75+91,IF(G75="Semestral",J75+182,IF(G75="Diario",J75+1,J75+365))))))</f>
        <v xml:space="preserve"> </v>
      </c>
      <c r="L75" s="34"/>
      <c r="M75" s="158" t="b">
        <v>0</v>
      </c>
      <c r="N75" s="158" t="b">
        <v>0</v>
      </c>
      <c r="O75" s="158" t="b">
        <v>0</v>
      </c>
      <c r="P75" s="67" t="str">
        <f t="shared" ca="1" si="3"/>
        <v>-</v>
      </c>
      <c r="Q75" s="64" t="str">
        <f t="shared" ca="1" si="4"/>
        <v/>
      </c>
      <c r="S75" s="167"/>
      <c r="T75" s="148"/>
      <c r="U75" s="57" t="s">
        <v>117</v>
      </c>
    </row>
    <row r="76" spans="1:21" ht="15" customHeight="1" x14ac:dyDescent="0.3">
      <c r="A76" s="116">
        <v>66</v>
      </c>
      <c r="B76" s="170">
        <v>15</v>
      </c>
      <c r="C76" s="171" t="s">
        <v>313</v>
      </c>
      <c r="D76" s="171">
        <v>15</v>
      </c>
      <c r="E76" s="86" t="s">
        <v>207</v>
      </c>
      <c r="F76" s="70" t="s">
        <v>99</v>
      </c>
      <c r="G76" s="77">
        <v>5</v>
      </c>
      <c r="H76" s="144"/>
      <c r="I76" s="145"/>
      <c r="J76" s="145"/>
      <c r="K76" s="63" t="str">
        <f t="shared" si="5"/>
        <v xml:space="preserve"> </v>
      </c>
      <c r="L76" s="34"/>
      <c r="M76" s="158" t="b">
        <v>0</v>
      </c>
      <c r="N76" s="158" t="b">
        <v>0</v>
      </c>
      <c r="O76" s="158" t="b">
        <v>0</v>
      </c>
      <c r="P76" s="67" t="str">
        <f t="shared" ca="1" si="3"/>
        <v>-</v>
      </c>
      <c r="Q76" s="64" t="str">
        <f t="shared" ca="1" si="4"/>
        <v/>
      </c>
      <c r="S76" s="167"/>
      <c r="T76" s="148"/>
      <c r="U76" s="57" t="s">
        <v>109</v>
      </c>
    </row>
    <row r="77" spans="1:21" ht="15" customHeight="1" x14ac:dyDescent="0.3">
      <c r="A77" s="116">
        <v>67</v>
      </c>
      <c r="B77" s="170"/>
      <c r="C77" s="171"/>
      <c r="D77" s="171"/>
      <c r="E77" s="86" t="s">
        <v>207</v>
      </c>
      <c r="F77" s="70" t="s">
        <v>98</v>
      </c>
      <c r="G77" s="77">
        <v>10</v>
      </c>
      <c r="H77" s="144"/>
      <c r="I77" s="145"/>
      <c r="J77" s="145"/>
      <c r="K77" s="63" t="str">
        <f t="shared" si="5"/>
        <v xml:space="preserve"> </v>
      </c>
      <c r="L77" s="34"/>
      <c r="M77" s="158" t="b">
        <v>0</v>
      </c>
      <c r="N77" s="158" t="b">
        <v>0</v>
      </c>
      <c r="O77" s="158" t="b">
        <v>0</v>
      </c>
      <c r="P77" s="67" t="str">
        <f t="shared" ca="1" si="3"/>
        <v>-</v>
      </c>
      <c r="Q77" s="64" t="str">
        <f t="shared" ca="1" si="4"/>
        <v/>
      </c>
      <c r="S77" s="167"/>
      <c r="T77" s="148"/>
      <c r="U77" s="57"/>
    </row>
    <row r="78" spans="1:21" ht="15" customHeight="1" x14ac:dyDescent="0.3">
      <c r="A78" s="116">
        <v>68</v>
      </c>
      <c r="B78" s="170"/>
      <c r="C78" s="171"/>
      <c r="D78" s="171"/>
      <c r="E78" s="86" t="s">
        <v>207</v>
      </c>
      <c r="F78" s="70" t="s">
        <v>100</v>
      </c>
      <c r="G78" s="77">
        <v>5</v>
      </c>
      <c r="H78" s="144"/>
      <c r="I78" s="145"/>
      <c r="J78" s="145"/>
      <c r="K78" s="63" t="str">
        <f t="shared" si="5"/>
        <v xml:space="preserve"> </v>
      </c>
      <c r="L78" s="34"/>
      <c r="M78" s="158" t="b">
        <v>0</v>
      </c>
      <c r="N78" s="158" t="b">
        <v>0</v>
      </c>
      <c r="O78" s="158" t="b">
        <v>0</v>
      </c>
      <c r="P78" s="67" t="str">
        <f t="shared" ca="1" si="3"/>
        <v>-</v>
      </c>
      <c r="Q78" s="64" t="str">
        <f t="shared" ca="1" si="4"/>
        <v/>
      </c>
      <c r="S78" s="167"/>
      <c r="T78" s="148"/>
      <c r="U78" s="57"/>
    </row>
    <row r="79" spans="1:21" ht="15" customHeight="1" x14ac:dyDescent="0.3">
      <c r="A79" s="116">
        <v>69</v>
      </c>
      <c r="B79" s="170"/>
      <c r="C79" s="171"/>
      <c r="D79" s="171"/>
      <c r="E79" s="86" t="s">
        <v>207</v>
      </c>
      <c r="F79" s="70" t="s">
        <v>101</v>
      </c>
      <c r="G79" s="77">
        <v>10</v>
      </c>
      <c r="H79" s="144"/>
      <c r="I79" s="145"/>
      <c r="J79" s="145"/>
      <c r="K79" s="63" t="str">
        <f t="shared" si="5"/>
        <v xml:space="preserve"> </v>
      </c>
      <c r="L79" s="34"/>
      <c r="M79" s="158" t="b">
        <v>0</v>
      </c>
      <c r="N79" s="158" t="b">
        <v>0</v>
      </c>
      <c r="O79" s="158" t="b">
        <v>0</v>
      </c>
      <c r="P79" s="67" t="str">
        <f t="shared" ca="1" si="3"/>
        <v>-</v>
      </c>
      <c r="Q79" s="64" t="str">
        <f t="shared" ca="1" si="4"/>
        <v/>
      </c>
      <c r="S79" s="167"/>
      <c r="T79" s="148"/>
      <c r="U79" s="57"/>
    </row>
    <row r="80" spans="1:21" ht="15" customHeight="1" x14ac:dyDescent="0.3">
      <c r="A80" s="116">
        <v>70</v>
      </c>
      <c r="B80" s="170"/>
      <c r="C80" s="171"/>
      <c r="D80" s="171"/>
      <c r="E80" s="86" t="s">
        <v>207</v>
      </c>
      <c r="F80" s="70" t="s">
        <v>102</v>
      </c>
      <c r="G80" s="77">
        <v>5</v>
      </c>
      <c r="H80" s="144"/>
      <c r="I80" s="145"/>
      <c r="J80" s="145"/>
      <c r="K80" s="63" t="str">
        <f t="shared" si="5"/>
        <v xml:space="preserve"> </v>
      </c>
      <c r="L80" s="34"/>
      <c r="M80" s="158" t="b">
        <v>0</v>
      </c>
      <c r="N80" s="158" t="b">
        <v>0</v>
      </c>
      <c r="O80" s="158" t="b">
        <v>0</v>
      </c>
      <c r="P80" s="67" t="str">
        <f t="shared" ref="P80:P94" ca="1" si="6">IF(AND(OR(K80="",K80=" "),OR(M80=TRUE,N80=TRUE,O80=TRUE)),"ERROR",
IF(OR(K80="",K80=" "),"-",
  IF(AND(TODAY()&gt;K80,K80&lt;&gt;""),"PTE.",
    IF(AND(TODAY()&lt;K80,O80=TRUE),"DESFAVORABLE",
      IF(AND(TODAY()&lt;K80,O80=FALSE,OR(AND(M80=FALSE,N80=TRUE),AND(M80=TRUE,N80=TRUE))),"CONDICIONADO",
        IF(AND(TODAY()&lt;K80,O80=FALSE,M80=TRUE,N80=FALSE),"FAVORABLE",
          IF(AND(OR(TODAY()&lt;K80,K80=""),O80=FALSE,M80=FALSE,N80=FALSE),"ERROR","-")))))))</f>
        <v>-</v>
      </c>
      <c r="Q80" s="64" t="str">
        <f t="shared" ca="1" si="4"/>
        <v/>
      </c>
      <c r="S80" s="167"/>
      <c r="T80" s="148"/>
      <c r="U80" s="57"/>
    </row>
    <row r="81" spans="1:21" ht="15" customHeight="1" x14ac:dyDescent="0.3">
      <c r="A81" s="116">
        <v>71</v>
      </c>
      <c r="B81" s="170"/>
      <c r="C81" s="171"/>
      <c r="D81" s="171"/>
      <c r="E81" s="86" t="s">
        <v>207</v>
      </c>
      <c r="F81" s="70" t="s">
        <v>103</v>
      </c>
      <c r="G81" s="77">
        <v>10</v>
      </c>
      <c r="H81" s="144"/>
      <c r="I81" s="145"/>
      <c r="J81" s="145"/>
      <c r="K81" s="63" t="str">
        <f t="shared" si="5"/>
        <v xml:space="preserve"> </v>
      </c>
      <c r="L81" s="34"/>
      <c r="M81" s="158" t="b">
        <v>0</v>
      </c>
      <c r="N81" s="158" t="b">
        <v>0</v>
      </c>
      <c r="O81" s="158" t="b">
        <v>0</v>
      </c>
      <c r="P81" s="67" t="str">
        <f t="shared" ca="1" si="6"/>
        <v>-</v>
      </c>
      <c r="Q81" s="64" t="str">
        <f ca="1">REPT("██",IF(P81="Favorable",1,IF(P81="Condicionado",2,IF(P81="PTE.",3,IF(P81="desfavorable",4,"0")))))</f>
        <v/>
      </c>
      <c r="S81" s="167"/>
      <c r="T81" s="148"/>
      <c r="U81" s="57"/>
    </row>
    <row r="82" spans="1:21" ht="15" customHeight="1" x14ac:dyDescent="0.3">
      <c r="A82" s="116">
        <v>72</v>
      </c>
      <c r="B82" s="168">
        <v>16</v>
      </c>
      <c r="C82" s="169" t="s">
        <v>315</v>
      </c>
      <c r="D82" s="72" t="s">
        <v>106</v>
      </c>
      <c r="E82" s="79" t="s">
        <v>208</v>
      </c>
      <c r="F82" s="83" t="s">
        <v>5</v>
      </c>
      <c r="G82" s="76">
        <v>1</v>
      </c>
      <c r="H82" s="144"/>
      <c r="I82" s="145"/>
      <c r="J82" s="145"/>
      <c r="K82" s="63" t="str">
        <f t="shared" si="5"/>
        <v xml:space="preserve"> </v>
      </c>
      <c r="L82" s="34"/>
      <c r="M82" s="158" t="b">
        <v>0</v>
      </c>
      <c r="N82" s="158" t="b">
        <v>0</v>
      </c>
      <c r="O82" s="158" t="b">
        <v>0</v>
      </c>
      <c r="P82" s="67" t="str">
        <f t="shared" ca="1" si="6"/>
        <v>-</v>
      </c>
      <c r="Q82" s="64" t="str">
        <f t="shared" ca="1" si="4"/>
        <v/>
      </c>
      <c r="S82" s="167"/>
      <c r="T82" s="148"/>
      <c r="U82" s="57" t="s">
        <v>110</v>
      </c>
    </row>
    <row r="83" spans="1:21" ht="15" customHeight="1" x14ac:dyDescent="0.3">
      <c r="A83" s="116">
        <v>73</v>
      </c>
      <c r="B83" s="168"/>
      <c r="C83" s="169"/>
      <c r="D83" s="72" t="s">
        <v>107</v>
      </c>
      <c r="E83" s="79" t="s">
        <v>208</v>
      </c>
      <c r="F83" s="84" t="s">
        <v>12</v>
      </c>
      <c r="G83" s="76">
        <v>1</v>
      </c>
      <c r="H83" s="144"/>
      <c r="I83" s="145"/>
      <c r="J83" s="145"/>
      <c r="K83" s="63" t="str">
        <f t="shared" si="5"/>
        <v xml:space="preserve"> </v>
      </c>
      <c r="L83" s="34"/>
      <c r="M83" s="158" t="b">
        <v>0</v>
      </c>
      <c r="N83" s="158" t="b">
        <v>0</v>
      </c>
      <c r="O83" s="158" t="b">
        <v>0</v>
      </c>
      <c r="P83" s="67" t="str">
        <f t="shared" ca="1" si="6"/>
        <v>-</v>
      </c>
      <c r="Q83" s="64" t="str">
        <f t="shared" ca="1" si="4"/>
        <v/>
      </c>
      <c r="S83" s="167"/>
      <c r="T83" s="148"/>
      <c r="U83" s="57"/>
    </row>
    <row r="84" spans="1:21" ht="15" customHeight="1" x14ac:dyDescent="0.3">
      <c r="A84" s="116">
        <v>74</v>
      </c>
      <c r="B84" s="168"/>
      <c r="C84" s="169"/>
      <c r="D84" s="72" t="s">
        <v>108</v>
      </c>
      <c r="E84" s="79" t="s">
        <v>208</v>
      </c>
      <c r="F84" s="73" t="s">
        <v>84</v>
      </c>
      <c r="G84" s="76">
        <v>5</v>
      </c>
      <c r="H84" s="144"/>
      <c r="I84" s="145"/>
      <c r="J84" s="145"/>
      <c r="K84" s="63" t="str">
        <f t="shared" si="5"/>
        <v xml:space="preserve"> </v>
      </c>
      <c r="L84" s="34"/>
      <c r="M84" s="158" t="b">
        <v>0</v>
      </c>
      <c r="N84" s="158" t="b">
        <v>0</v>
      </c>
      <c r="O84" s="158" t="b">
        <v>0</v>
      </c>
      <c r="P84" s="67" t="str">
        <f t="shared" ca="1" si="6"/>
        <v>-</v>
      </c>
      <c r="Q84" s="64" t="str">
        <f t="shared" ca="1" si="4"/>
        <v/>
      </c>
      <c r="S84" s="167"/>
      <c r="T84" s="148"/>
      <c r="U84" s="57"/>
    </row>
    <row r="85" spans="1:21" ht="15" customHeight="1" x14ac:dyDescent="0.3">
      <c r="A85" s="116">
        <v>75</v>
      </c>
      <c r="B85" s="68">
        <v>17</v>
      </c>
      <c r="C85" s="69" t="s">
        <v>41</v>
      </c>
      <c r="D85" s="69">
        <v>17</v>
      </c>
      <c r="E85" s="80" t="s">
        <v>41</v>
      </c>
      <c r="F85" s="92" t="s">
        <v>5</v>
      </c>
      <c r="G85" s="75">
        <v>1</v>
      </c>
      <c r="H85" s="144"/>
      <c r="I85" s="145"/>
      <c r="J85" s="142"/>
      <c r="K85" s="63" t="str">
        <f t="shared" si="5"/>
        <v xml:space="preserve"> </v>
      </c>
      <c r="L85" s="34"/>
      <c r="M85" s="158" t="b">
        <v>0</v>
      </c>
      <c r="N85" s="158" t="b">
        <v>0</v>
      </c>
      <c r="O85" s="158" t="b">
        <v>0</v>
      </c>
      <c r="P85" s="67" t="str">
        <f t="shared" ca="1" si="6"/>
        <v>-</v>
      </c>
      <c r="Q85" s="64" t="str">
        <f t="shared" ca="1" si="4"/>
        <v/>
      </c>
      <c r="S85" s="167"/>
      <c r="T85" s="148"/>
      <c r="U85" s="57"/>
    </row>
    <row r="86" spans="1:21" ht="15" customHeight="1" x14ac:dyDescent="0.3">
      <c r="A86" s="116">
        <v>76</v>
      </c>
      <c r="B86" s="71">
        <v>18</v>
      </c>
      <c r="C86" s="72" t="s">
        <v>42</v>
      </c>
      <c r="D86" s="72">
        <v>18</v>
      </c>
      <c r="E86" s="79" t="s">
        <v>42</v>
      </c>
      <c r="F86" s="93" t="s">
        <v>5</v>
      </c>
      <c r="G86" s="76">
        <v>1</v>
      </c>
      <c r="H86" s="144"/>
      <c r="I86" s="145"/>
      <c r="J86" s="145"/>
      <c r="K86" s="63" t="str">
        <f t="shared" si="5"/>
        <v xml:space="preserve"> </v>
      </c>
      <c r="L86" s="34"/>
      <c r="M86" s="158" t="b">
        <v>0</v>
      </c>
      <c r="N86" s="158" t="b">
        <v>0</v>
      </c>
      <c r="O86" s="158" t="b">
        <v>0</v>
      </c>
      <c r="P86" s="67" t="str">
        <f t="shared" ca="1" si="6"/>
        <v>-</v>
      </c>
      <c r="Q86" s="64" t="str">
        <f t="shared" ca="1" si="4"/>
        <v/>
      </c>
      <c r="S86" s="167"/>
      <c r="T86" s="148"/>
      <c r="U86" s="57" t="s">
        <v>156</v>
      </c>
    </row>
    <row r="87" spans="1:21" ht="15" customHeight="1" x14ac:dyDescent="0.3">
      <c r="A87" s="116">
        <v>77</v>
      </c>
      <c r="B87" s="68">
        <v>19</v>
      </c>
      <c r="C87" s="69" t="s">
        <v>43</v>
      </c>
      <c r="D87" s="69">
        <v>19</v>
      </c>
      <c r="E87" s="80" t="s">
        <v>43</v>
      </c>
      <c r="F87" s="92" t="s">
        <v>5</v>
      </c>
      <c r="G87" s="75">
        <v>1</v>
      </c>
      <c r="H87" s="144"/>
      <c r="I87" s="142"/>
      <c r="J87" s="142"/>
      <c r="K87" s="63" t="str">
        <f t="shared" si="5"/>
        <v xml:space="preserve"> </v>
      </c>
      <c r="L87" s="34"/>
      <c r="M87" s="158" t="b">
        <v>0</v>
      </c>
      <c r="N87" s="158" t="b">
        <v>0</v>
      </c>
      <c r="O87" s="158" t="b">
        <v>0</v>
      </c>
      <c r="P87" s="67" t="str">
        <f t="shared" ca="1" si="6"/>
        <v>-</v>
      </c>
      <c r="Q87" s="64" t="str">
        <f t="shared" ca="1" si="4"/>
        <v/>
      </c>
      <c r="S87" s="167"/>
      <c r="T87" s="148"/>
      <c r="U87" s="57"/>
    </row>
    <row r="88" spans="1:21" ht="15" customHeight="1" x14ac:dyDescent="0.3">
      <c r="A88" s="116">
        <v>78</v>
      </c>
      <c r="B88" s="71">
        <v>20</v>
      </c>
      <c r="C88" s="72" t="s">
        <v>44</v>
      </c>
      <c r="D88" s="72">
        <v>20</v>
      </c>
      <c r="E88" s="79" t="s">
        <v>44</v>
      </c>
      <c r="F88" s="93" t="s">
        <v>5</v>
      </c>
      <c r="G88" s="76">
        <v>1</v>
      </c>
      <c r="H88" s="144"/>
      <c r="I88" s="142"/>
      <c r="J88" s="145"/>
      <c r="K88" s="63" t="str">
        <f t="shared" si="5"/>
        <v xml:space="preserve"> </v>
      </c>
      <c r="L88" s="34"/>
      <c r="M88" s="158" t="b">
        <v>0</v>
      </c>
      <c r="N88" s="158" t="b">
        <v>0</v>
      </c>
      <c r="O88" s="158" t="b">
        <v>0</v>
      </c>
      <c r="P88" s="67" t="str">
        <f t="shared" ca="1" si="6"/>
        <v>-</v>
      </c>
      <c r="Q88" s="64" t="str">
        <f t="shared" ca="1" si="4"/>
        <v/>
      </c>
      <c r="S88" s="167"/>
      <c r="T88" s="148"/>
      <c r="U88" s="57"/>
    </row>
    <row r="89" spans="1:21" ht="15" customHeight="1" x14ac:dyDescent="0.3">
      <c r="A89" s="116">
        <v>79</v>
      </c>
      <c r="B89" s="68">
        <v>21</v>
      </c>
      <c r="C89" s="69" t="s">
        <v>105</v>
      </c>
      <c r="D89" s="69">
        <v>21</v>
      </c>
      <c r="E89" s="80" t="s">
        <v>105</v>
      </c>
      <c r="F89" s="92" t="s">
        <v>5</v>
      </c>
      <c r="G89" s="75" t="s">
        <v>55</v>
      </c>
      <c r="H89" s="144"/>
      <c r="I89" s="142"/>
      <c r="J89" s="146"/>
      <c r="K89" s="63" t="str">
        <f t="shared" si="5"/>
        <v xml:space="preserve"> </v>
      </c>
      <c r="L89" s="34"/>
      <c r="M89" s="158" t="b">
        <v>0</v>
      </c>
      <c r="N89" s="158" t="b">
        <v>0</v>
      </c>
      <c r="O89" s="158" t="b">
        <v>0</v>
      </c>
      <c r="P89" s="67" t="str">
        <f t="shared" ca="1" si="6"/>
        <v>-</v>
      </c>
      <c r="Q89" s="64" t="str">
        <f t="shared" ca="1" si="4"/>
        <v/>
      </c>
      <c r="S89" s="167"/>
      <c r="T89" s="148"/>
      <c r="U89" s="57"/>
    </row>
    <row r="90" spans="1:21" ht="15" customHeight="1" x14ac:dyDescent="0.3">
      <c r="A90" s="116">
        <v>80</v>
      </c>
      <c r="B90" s="71">
        <v>30</v>
      </c>
      <c r="C90" s="72" t="s">
        <v>175</v>
      </c>
      <c r="D90" s="72">
        <v>30</v>
      </c>
      <c r="E90" s="79" t="s">
        <v>175</v>
      </c>
      <c r="F90" s="93" t="s">
        <v>185</v>
      </c>
      <c r="G90" s="76">
        <v>10</v>
      </c>
      <c r="H90" s="144"/>
      <c r="I90" s="145"/>
      <c r="J90" s="142"/>
      <c r="K90" s="63" t="str">
        <f t="shared" si="5"/>
        <v xml:space="preserve"> </v>
      </c>
      <c r="L90" s="34"/>
      <c r="M90" s="158" t="b">
        <v>0</v>
      </c>
      <c r="N90" s="158" t="b">
        <v>0</v>
      </c>
      <c r="O90" s="158" t="b">
        <v>0</v>
      </c>
      <c r="P90" s="67" t="str">
        <f t="shared" ca="1" si="6"/>
        <v>-</v>
      </c>
      <c r="Q90" s="64" t="str">
        <f t="shared" ca="1" si="4"/>
        <v/>
      </c>
      <c r="S90" s="167"/>
      <c r="T90" s="148"/>
      <c r="U90" s="57" t="s">
        <v>142</v>
      </c>
    </row>
    <row r="91" spans="1:21" ht="15" customHeight="1" x14ac:dyDescent="0.3">
      <c r="A91" s="116">
        <v>81</v>
      </c>
      <c r="B91" s="68">
        <v>40</v>
      </c>
      <c r="C91" s="69" t="s">
        <v>177</v>
      </c>
      <c r="D91" s="69">
        <v>40</v>
      </c>
      <c r="E91" s="80" t="s">
        <v>177</v>
      </c>
      <c r="F91" s="92" t="s">
        <v>186</v>
      </c>
      <c r="G91" s="75">
        <v>1</v>
      </c>
      <c r="H91" s="144"/>
      <c r="I91" s="145"/>
      <c r="J91" s="142"/>
      <c r="K91" s="63" t="str">
        <f t="shared" si="5"/>
        <v xml:space="preserve"> </v>
      </c>
      <c r="L91" s="34"/>
      <c r="M91" s="158" t="b">
        <v>0</v>
      </c>
      <c r="N91" s="158" t="b">
        <v>0</v>
      </c>
      <c r="O91" s="158" t="b">
        <v>0</v>
      </c>
      <c r="P91" s="67" t="str">
        <f t="shared" ca="1" si="6"/>
        <v>-</v>
      </c>
      <c r="Q91" s="64" t="str">
        <f t="shared" ca="1" si="4"/>
        <v/>
      </c>
      <c r="S91" s="167"/>
      <c r="T91" s="148"/>
      <c r="U91" s="57"/>
    </row>
    <row r="92" spans="1:21" ht="15" customHeight="1" x14ac:dyDescent="0.3">
      <c r="A92" s="116">
        <v>82</v>
      </c>
      <c r="B92" s="71">
        <v>50</v>
      </c>
      <c r="C92" s="72" t="s">
        <v>104</v>
      </c>
      <c r="D92" s="72">
        <v>50</v>
      </c>
      <c r="E92" s="79" t="s">
        <v>104</v>
      </c>
      <c r="F92" s="93" t="s">
        <v>185</v>
      </c>
      <c r="G92" s="76">
        <v>1</v>
      </c>
      <c r="H92" s="144"/>
      <c r="I92" s="145"/>
      <c r="J92" s="142"/>
      <c r="K92" s="63" t="str">
        <f t="shared" si="5"/>
        <v xml:space="preserve"> </v>
      </c>
      <c r="L92" s="34"/>
      <c r="M92" s="158" t="b">
        <v>0</v>
      </c>
      <c r="N92" s="158" t="b">
        <v>0</v>
      </c>
      <c r="O92" s="158" t="b">
        <v>0</v>
      </c>
      <c r="P92" s="67" t="str">
        <f t="shared" ca="1" si="6"/>
        <v>-</v>
      </c>
      <c r="Q92" s="64" t="str">
        <f t="shared" ca="1" si="4"/>
        <v/>
      </c>
      <c r="S92" s="167"/>
      <c r="T92" s="148"/>
      <c r="U92" s="57" t="s">
        <v>142</v>
      </c>
    </row>
    <row r="93" spans="1:21" ht="15" customHeight="1" x14ac:dyDescent="0.3">
      <c r="A93" s="116">
        <v>83</v>
      </c>
      <c r="B93" s="68">
        <v>60</v>
      </c>
      <c r="C93" s="69" t="s">
        <v>96</v>
      </c>
      <c r="D93" s="69">
        <v>60</v>
      </c>
      <c r="E93" s="80" t="s">
        <v>96</v>
      </c>
      <c r="F93" s="92" t="s">
        <v>5</v>
      </c>
      <c r="G93" s="75">
        <v>1</v>
      </c>
      <c r="H93" s="144"/>
      <c r="I93" s="145"/>
      <c r="J93" s="142"/>
      <c r="K93" s="63" t="str">
        <f t="shared" si="5"/>
        <v xml:space="preserve"> </v>
      </c>
      <c r="L93" s="34"/>
      <c r="M93" s="158" t="b">
        <v>0</v>
      </c>
      <c r="N93" s="158" t="b">
        <v>0</v>
      </c>
      <c r="O93" s="158" t="b">
        <v>0</v>
      </c>
      <c r="P93" s="67" t="str">
        <f t="shared" ca="1" si="6"/>
        <v>-</v>
      </c>
      <c r="Q93" s="64" t="str">
        <f t="shared" ca="1" si="4"/>
        <v/>
      </c>
      <c r="S93" s="167"/>
      <c r="T93" s="148"/>
      <c r="U93" s="57"/>
    </row>
    <row r="94" spans="1:21" ht="15" customHeight="1" x14ac:dyDescent="0.3">
      <c r="A94" s="116">
        <v>84</v>
      </c>
      <c r="B94" s="71">
        <v>100</v>
      </c>
      <c r="C94" s="72" t="s">
        <v>45</v>
      </c>
      <c r="D94" s="72">
        <v>100</v>
      </c>
      <c r="E94" s="79" t="s">
        <v>45</v>
      </c>
      <c r="F94" s="93" t="s">
        <v>185</v>
      </c>
      <c r="G94" s="81">
        <v>3</v>
      </c>
      <c r="H94" s="144"/>
      <c r="I94" s="145"/>
      <c r="J94" s="142"/>
      <c r="K94" s="63" t="str">
        <f t="shared" si="5"/>
        <v xml:space="preserve"> </v>
      </c>
      <c r="L94" s="34"/>
      <c r="M94" s="158" t="b">
        <v>0</v>
      </c>
      <c r="N94" s="158" t="b">
        <v>0</v>
      </c>
      <c r="O94" s="158" t="b">
        <v>0</v>
      </c>
      <c r="P94" s="67" t="str">
        <f t="shared" ca="1" si="6"/>
        <v>-</v>
      </c>
      <c r="Q94" s="64" t="str">
        <f t="shared" ca="1" si="4"/>
        <v/>
      </c>
      <c r="S94" s="167"/>
      <c r="T94" s="148"/>
      <c r="U94" s="57" t="s">
        <v>95</v>
      </c>
    </row>
    <row r="95" spans="1:21" ht="15" customHeight="1" x14ac:dyDescent="0.3">
      <c r="F95" s="2"/>
      <c r="N95" s="1"/>
      <c r="P95" s="1"/>
      <c r="Q95" s="1"/>
      <c r="R95" s="1"/>
      <c r="S95" s="1"/>
      <c r="T95" s="1"/>
      <c r="U95" s="1"/>
    </row>
    <row r="96" spans="1:21" ht="15" customHeight="1" x14ac:dyDescent="0.3">
      <c r="L96" s="34"/>
    </row>
    <row r="97" spans="12:12" ht="15" customHeight="1" x14ac:dyDescent="0.3">
      <c r="L97" s="34"/>
    </row>
  </sheetData>
  <customSheetViews>
    <customSheetView guid="{AFEF642E-49E4-4E87-9020-14590227B0B9}" hiddenColumns="1">
      <selection activeCell="U46" sqref="U46"/>
    </customSheetView>
  </customSheetViews>
  <mergeCells count="38">
    <mergeCell ref="J3:K3"/>
    <mergeCell ref="M6:M10"/>
    <mergeCell ref="N6:N10"/>
    <mergeCell ref="O6:O10"/>
    <mergeCell ref="C2:C7"/>
    <mergeCell ref="F7:G7"/>
    <mergeCell ref="F3:H3"/>
    <mergeCell ref="F4:H4"/>
    <mergeCell ref="F5:H5"/>
    <mergeCell ref="F6:H6"/>
    <mergeCell ref="F2:G2"/>
    <mergeCell ref="B10:E10"/>
    <mergeCell ref="B11:B26"/>
    <mergeCell ref="D27:D28"/>
    <mergeCell ref="C27:C32"/>
    <mergeCell ref="B27:B32"/>
    <mergeCell ref="D29:D31"/>
    <mergeCell ref="D11:D24"/>
    <mergeCell ref="C11:C26"/>
    <mergeCell ref="B82:B84"/>
    <mergeCell ref="C82:C84"/>
    <mergeCell ref="B61:B68"/>
    <mergeCell ref="C61:C68"/>
    <mergeCell ref="D64:D66"/>
    <mergeCell ref="B76:B81"/>
    <mergeCell ref="C76:C81"/>
    <mergeCell ref="D76:D81"/>
    <mergeCell ref="B45:B59"/>
    <mergeCell ref="D45:D47"/>
    <mergeCell ref="D48:D50"/>
    <mergeCell ref="C45:C59"/>
    <mergeCell ref="D55:D59"/>
    <mergeCell ref="D51:D53"/>
    <mergeCell ref="B34:B44"/>
    <mergeCell ref="C34:C44"/>
    <mergeCell ref="D37:D40"/>
    <mergeCell ref="D34:D36"/>
    <mergeCell ref="D43:D44"/>
  </mergeCells>
  <phoneticPr fontId="2" type="noConversion"/>
  <conditionalFormatting sqref="P11:P94">
    <cfRule type="containsText" dxfId="48" priority="6" operator="containsText" text="DESFAVORABLE">
      <formula>NOT(ISERROR(SEARCH("DESFAVORABLE",P11)))</formula>
    </cfRule>
    <cfRule type="containsText" dxfId="47" priority="102" operator="containsText" text="FAVORABLE">
      <formula>NOT(ISERROR(SEARCH("FAVORABLE",P11)))</formula>
    </cfRule>
    <cfRule type="containsText" dxfId="46" priority="103" operator="containsText" text="CONDICIONADO">
      <formula>NOT(ISERROR(SEARCH("CONDICIONADO",P11)))</formula>
    </cfRule>
    <cfRule type="containsText" dxfId="45" priority="104" operator="containsText" text="PTE.">
      <formula>NOT(ISERROR(SEARCH("PTE.",P11)))</formula>
    </cfRule>
    <cfRule type="containsText" dxfId="44" priority="105" operator="containsText" text="ERROR">
      <formula>NOT(ISERROR(SEARCH("ERROR",P11)))</formula>
    </cfRule>
  </conditionalFormatting>
  <conditionalFormatting sqref="Q11:Q94">
    <cfRule type="expression" dxfId="43" priority="7">
      <formula>LEN(Q11)=0</formula>
    </cfRule>
    <cfRule type="expression" dxfId="42" priority="106">
      <formula>LEN(Q11)=2</formula>
    </cfRule>
    <cfRule type="expression" dxfId="41" priority="107">
      <formula>AND(LEN(Q11)&gt;=3,LEN(Q11)&lt;=4)</formula>
    </cfRule>
    <cfRule type="expression" dxfId="40" priority="108">
      <formula>AND(LEN(Q11)&gt;=5,LEN(Q11)&lt;=6)</formula>
    </cfRule>
    <cfRule type="expression" dxfId="39" priority="109">
      <formula>LEN(Q11)&gt;=8</formula>
    </cfRule>
  </conditionalFormatting>
  <conditionalFormatting sqref="K11:K94">
    <cfRule type="cellIs" dxfId="4" priority="1" operator="equal">
      <formula>" "</formula>
    </cfRule>
    <cfRule type="cellIs" dxfId="3" priority="2" operator="lessThan">
      <formula>TODAY()</formula>
    </cfRule>
    <cfRule type="cellIs" dxfId="2" priority="3" operator="between">
      <formula>TODAY()</formula>
      <formula>TODAY()+30</formula>
    </cfRule>
    <cfRule type="cellIs" dxfId="1" priority="4" operator="between">
      <formula>TODAY()+31</formula>
      <formula>TODAY()+60</formula>
    </cfRule>
    <cfRule type="cellIs" dxfId="0" priority="5" operator="greaterThan">
      <formula>TODAY()+90</formula>
    </cfRule>
  </conditionalFormatting>
  <dataValidations count="3">
    <dataValidation type="list" allowBlank="1" showInputMessage="1" showErrorMessage="1" sqref="G11:G94" xr:uid="{BA9A1956-CA4F-4A21-A737-1A99A02ADF48}">
      <formula1>"1,2,3,4,5,10,15,Mensual,Trimestral,Semestral,Diario,inicial"</formula1>
    </dataValidation>
    <dataValidation allowBlank="1" showInputMessage="1" showErrorMessage="1" errorTitle="Valor no válido" error="Solo puede ingresar 0 (desmarcado) o 1 (marcado)" promptTitle="Casilla de verificación" prompt="Seleccione: 1 = ☑ Marcado, 0 = ☐ Desmarcado" sqref="O11:O94" xr:uid="{E6E26B28-4FF8-4085-A52F-744E4BAB5D7B}"/>
    <dataValidation allowBlank="1" showErrorMessage="1" errorTitle="Valor no válido" error="Solo puede ingresar 0 (desmarcado) o 1 (marcado)" sqref="M11:N94" xr:uid="{B72C2CAB-FA54-4795-828D-0C1533736279}"/>
  </dataValidations>
  <printOptions headings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F6FBE0-53FC-442C-8D3B-1476210EC292}">
          <x14:formula1>
            <xm:f>BD!$E$44:$E$46</xm:f>
          </x14:formula1>
          <xm:sqref>F7</xm:sqref>
        </x14:dataValidation>
        <x14:dataValidation type="list" allowBlank="1" showInputMessage="1" showErrorMessage="1" xr:uid="{989BC3D3-3B29-438D-A235-C5DFF24582F4}">
          <x14:formula1>
            <xm:f>BD!$D$2:$D$40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6585-A6DE-4C4D-A460-F49A75063C24}">
  <sheetPr>
    <pageSetUpPr fitToPage="1"/>
  </sheetPr>
  <dimension ref="A1:O297"/>
  <sheetViews>
    <sheetView showGridLines="0" topLeftCell="A41" zoomScale="70" zoomScaleNormal="70" workbookViewId="0">
      <selection activeCell="E35" sqref="E35"/>
    </sheetView>
  </sheetViews>
  <sheetFormatPr baseColWidth="10" defaultColWidth="0" defaultRowHeight="19.5" customHeight="1" x14ac:dyDescent="0.35"/>
  <cols>
    <col min="1" max="1" width="4.1796875" customWidth="1"/>
    <col min="2" max="2" width="7.81640625" style="31" customWidth="1"/>
    <col min="3" max="3" width="21.81640625" customWidth="1"/>
    <col min="4" max="4" width="12.08984375" style="38" customWidth="1"/>
    <col min="5" max="5" width="30.54296875" style="40" bestFit="1" customWidth="1"/>
    <col min="6" max="6" width="20.453125" customWidth="1"/>
    <col min="7" max="7" width="14.36328125" customWidth="1"/>
    <col min="8" max="8" width="17.6328125" style="38" customWidth="1"/>
    <col min="9" max="9" width="20" style="38" customWidth="1"/>
    <col min="10" max="10" width="15.90625" customWidth="1"/>
    <col min="11" max="11" width="12.36328125" style="31" customWidth="1"/>
    <col min="12" max="12" width="12.26953125" style="38" customWidth="1"/>
    <col min="13" max="13" width="41.1796875" customWidth="1"/>
    <col min="14" max="14" width="2.81640625" customWidth="1"/>
    <col min="15" max="15" width="18.1796875" hidden="1" customWidth="1"/>
    <col min="16" max="16384" width="10.90625" hidden="1"/>
  </cols>
  <sheetData>
    <row r="1" spans="2:15" s="1" customFormat="1" ht="15" customHeight="1" thickBot="1" x14ac:dyDescent="0.35">
      <c r="D1" s="2"/>
      <c r="E1" s="101"/>
      <c r="H1" s="2"/>
      <c r="I1" s="3"/>
      <c r="J1" s="22"/>
      <c r="K1" s="3"/>
      <c r="L1" s="3"/>
      <c r="M1" s="4"/>
      <c r="N1" s="3"/>
      <c r="O1" s="3"/>
    </row>
    <row r="2" spans="2:15" s="1" customFormat="1" ht="32" customHeight="1" thickBot="1" x14ac:dyDescent="0.35">
      <c r="B2" s="202" t="s">
        <v>119</v>
      </c>
      <c r="C2" s="203"/>
      <c r="D2" s="203"/>
      <c r="E2" s="203"/>
      <c r="F2" s="203"/>
      <c r="G2" s="204"/>
      <c r="H2" s="203"/>
      <c r="I2" s="203"/>
      <c r="J2" s="203"/>
      <c r="K2" s="203"/>
      <c r="L2" s="203"/>
      <c r="M2" s="205"/>
      <c r="N2" s="3"/>
      <c r="O2" s="3"/>
    </row>
    <row r="3" spans="2:15" s="1" customFormat="1" ht="15" customHeight="1" x14ac:dyDescent="0.3">
      <c r="D3" s="2"/>
      <c r="E3" s="101"/>
      <c r="H3" s="36"/>
      <c r="I3" s="3"/>
      <c r="J3" s="22"/>
      <c r="K3" s="3"/>
      <c r="L3" s="3"/>
      <c r="M3" s="4"/>
      <c r="N3" s="3"/>
      <c r="O3" s="3"/>
    </row>
    <row r="4" spans="2:15" s="1" customFormat="1" ht="15" customHeight="1" x14ac:dyDescent="0.3">
      <c r="E4" s="102" t="s">
        <v>120</v>
      </c>
      <c r="F4" s="206" t="str">
        <f>FICHA!F2</f>
        <v>MALAGA OCIO</v>
      </c>
      <c r="G4" s="206"/>
      <c r="H4" s="206"/>
      <c r="I4" s="206"/>
      <c r="J4" s="4"/>
      <c r="K4" s="5"/>
      <c r="L4" s="3"/>
      <c r="M4" s="3"/>
    </row>
    <row r="5" spans="2:15" s="1" customFormat="1" ht="15" customHeight="1" x14ac:dyDescent="0.3">
      <c r="E5" s="102" t="s">
        <v>121</v>
      </c>
      <c r="F5" s="179" t="str">
        <f>FICHA!F3</f>
        <v>C. Jaén, 1, 29004 Málaga</v>
      </c>
      <c r="G5" s="179"/>
      <c r="H5" s="179"/>
      <c r="I5" s="179"/>
      <c r="J5" s="4"/>
      <c r="K5" s="5"/>
      <c r="L5" s="3"/>
      <c r="M5" s="3"/>
    </row>
    <row r="6" spans="2:15" s="1" customFormat="1" ht="15" customHeight="1" x14ac:dyDescent="0.3">
      <c r="E6" s="102" t="s">
        <v>126</v>
      </c>
      <c r="F6" s="179" t="str">
        <f>FICHA!F5</f>
        <v>Maria Romero</v>
      </c>
      <c r="G6" s="179"/>
      <c r="H6" s="179"/>
      <c r="I6" s="179"/>
      <c r="J6" s="4"/>
      <c r="K6" s="5"/>
      <c r="L6" s="3"/>
      <c r="M6" s="3"/>
    </row>
    <row r="7" spans="2:15" s="1" customFormat="1" ht="15" customHeight="1" x14ac:dyDescent="0.3">
      <c r="E7" s="102" t="s">
        <v>127</v>
      </c>
      <c r="F7" s="190">
        <f>FICHA!F6</f>
        <v>45805</v>
      </c>
      <c r="G7" s="190"/>
      <c r="H7" s="190"/>
      <c r="I7" s="190"/>
      <c r="J7" s="3"/>
      <c r="K7" s="5"/>
      <c r="L7" s="3"/>
      <c r="M7" s="3"/>
    </row>
    <row r="8" spans="2:15" s="1" customFormat="1" ht="15" customHeight="1" x14ac:dyDescent="0.3">
      <c r="E8" s="103" t="s">
        <v>214</v>
      </c>
      <c r="F8" s="191" t="str">
        <f>FICHA!F7</f>
        <v>Revision S1</v>
      </c>
      <c r="G8" s="191"/>
      <c r="H8" s="191"/>
      <c r="I8" s="191"/>
      <c r="J8" s="3"/>
      <c r="K8" s="5"/>
      <c r="L8" s="3"/>
      <c r="M8" s="3"/>
    </row>
    <row r="9" spans="2:15" s="1" customFormat="1" ht="15" customHeight="1" x14ac:dyDescent="0.3">
      <c r="D9" s="2"/>
      <c r="E9" s="101"/>
      <c r="H9" s="2"/>
      <c r="I9" s="2"/>
      <c r="K9" s="3"/>
      <c r="L9" s="3"/>
      <c r="M9" s="4"/>
      <c r="N9" s="3"/>
      <c r="O9" s="3"/>
    </row>
    <row r="10" spans="2:15" ht="14.5" x14ac:dyDescent="0.35"/>
    <row r="11" spans="2:15" ht="18.5" x14ac:dyDescent="0.35">
      <c r="B11" s="187" t="s">
        <v>272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9"/>
    </row>
    <row r="12" spans="2:15" ht="14.5" x14ac:dyDescent="0.35">
      <c r="B12" s="46"/>
      <c r="M12" s="47"/>
    </row>
    <row r="13" spans="2:15" ht="18.5" customHeight="1" x14ac:dyDescent="0.35">
      <c r="B13" s="46"/>
      <c r="C13" s="192" t="s">
        <v>279</v>
      </c>
      <c r="D13" s="192"/>
      <c r="F13" s="192" t="s">
        <v>274</v>
      </c>
      <c r="G13" s="192"/>
      <c r="H13"/>
      <c r="I13" s="192" t="s">
        <v>332</v>
      </c>
      <c r="J13" s="192"/>
      <c r="M13" s="47"/>
    </row>
    <row r="14" spans="2:15" ht="15.5" x14ac:dyDescent="0.35">
      <c r="B14" s="46"/>
      <c r="F14" s="153" t="s">
        <v>344</v>
      </c>
      <c r="G14" s="153">
        <f ca="1">COUNTIF(FICHA!K11:K94,"&gt;"&amp;TODAY()+90)</f>
        <v>0</v>
      </c>
      <c r="H14"/>
      <c r="I14" s="55" t="s">
        <v>309</v>
      </c>
      <c r="J14" s="39">
        <f ca="1">BD!N12</f>
        <v>0</v>
      </c>
      <c r="M14" s="47"/>
    </row>
    <row r="15" spans="2:15" ht="14.5" x14ac:dyDescent="0.35">
      <c r="B15" s="46"/>
      <c r="C15" s="134" t="s">
        <v>330</v>
      </c>
      <c r="D15" s="41">
        <f ca="1">BD!N5</f>
        <v>0</v>
      </c>
      <c r="F15" s="154" t="s">
        <v>278</v>
      </c>
      <c r="G15" s="155">
        <f ca="1">COUNTIFS(FICHA!K11:'FICHA'!K94,"&gt;"&amp;TODAY()+60,FICHA!K11:'FICHA'!K94,"&lt;="&amp;TODAY()+90)</f>
        <v>0</v>
      </c>
      <c r="H15"/>
      <c r="I15" s="107"/>
      <c r="M15" s="47"/>
    </row>
    <row r="16" spans="2:15" ht="15.5" x14ac:dyDescent="0.35">
      <c r="B16" s="46"/>
      <c r="C16" s="135" t="s">
        <v>320</v>
      </c>
      <c r="D16" s="42">
        <f ca="1">BD!N6</f>
        <v>0</v>
      </c>
      <c r="E16" s="56"/>
      <c r="F16" s="139" t="s">
        <v>277</v>
      </c>
      <c r="G16" s="41">
        <f ca="1">COUNTIFS(FICHA!K11:'FICHA'!K94,"&gt;"&amp;TODAY()+30,FICHA!K11:'FICHA'!K94,"&lt;="&amp;TODAY()+60)</f>
        <v>0</v>
      </c>
      <c r="H16"/>
      <c r="I16" s="55" t="s">
        <v>310</v>
      </c>
      <c r="J16" s="39">
        <f ca="1">BD!N13</f>
        <v>0</v>
      </c>
      <c r="L16" s="106" t="s">
        <v>322</v>
      </c>
      <c r="M16" s="105"/>
    </row>
    <row r="17" spans="1:13" ht="14.5" x14ac:dyDescent="0.35">
      <c r="B17" s="46"/>
      <c r="C17" s="136" t="s">
        <v>331</v>
      </c>
      <c r="D17" s="43">
        <f ca="1">BD!N7</f>
        <v>0</v>
      </c>
      <c r="E17" s="56"/>
      <c r="F17" s="151" t="s">
        <v>276</v>
      </c>
      <c r="G17" s="152">
        <f ca="1">COUNTIFS(FICHA!K11:'FICHA'!K94,"&gt;="&amp;TODAY(),FICHA!K11:'FICHA'!K94,"&lt;="&amp;TODAY()+30)</f>
        <v>0</v>
      </c>
      <c r="H17"/>
      <c r="M17" s="47"/>
    </row>
    <row r="18" spans="1:13" ht="14" customHeight="1" x14ac:dyDescent="0.35">
      <c r="B18" s="46"/>
      <c r="C18" s="137" t="s">
        <v>321</v>
      </c>
      <c r="D18" s="44">
        <f ca="1">BD!N8</f>
        <v>0</v>
      </c>
      <c r="E18" s="56"/>
      <c r="F18" s="140" t="s">
        <v>275</v>
      </c>
      <c r="G18" s="43">
        <f ca="1">COUNTIF(FICHA!K11:'FICHA'!K94,"&lt;"&amp;TODAY())</f>
        <v>0</v>
      </c>
      <c r="H18"/>
      <c r="I18" s="99" t="s">
        <v>146</v>
      </c>
      <c r="J18" s="100" t="e">
        <f ca="1">IF(I19&lt;0.7,"NO APTO",IF(AND(I19&gt;0.7,I19&lt;0.8),"APTO COND.","APTO"))</f>
        <v>#DIV/0!</v>
      </c>
      <c r="L18" s="194" t="s">
        <v>323</v>
      </c>
      <c r="M18" s="195"/>
    </row>
    <row r="19" spans="1:13" ht="14.5" customHeight="1" x14ac:dyDescent="0.35">
      <c r="B19" s="46"/>
      <c r="C19" s="138" t="s">
        <v>326</v>
      </c>
      <c r="D19" s="109">
        <f ca="1">BD!N9</f>
        <v>0</v>
      </c>
      <c r="E19" s="56" t="str">
        <f ca="1">IF(D19&gt;0,1,"")</f>
        <v/>
      </c>
      <c r="H19"/>
      <c r="I19" s="193" t="e">
        <f ca="1">BD!N15</f>
        <v>#DIV/0!</v>
      </c>
      <c r="J19" s="193"/>
      <c r="L19" s="196" t="s">
        <v>324</v>
      </c>
      <c r="M19" s="197"/>
    </row>
    <row r="20" spans="1:13" ht="17.5" customHeight="1" x14ac:dyDescent="0.35">
      <c r="B20" s="46"/>
      <c r="C20" s="37" t="s">
        <v>328</v>
      </c>
      <c r="D20" s="114">
        <f ca="1">BD!N11</f>
        <v>0</v>
      </c>
      <c r="F20" s="150" t="s">
        <v>273</v>
      </c>
      <c r="G20" s="114">
        <f ca="1">SUM(G14:G18)</f>
        <v>0</v>
      </c>
      <c r="I20" s="193"/>
      <c r="J20" s="193"/>
      <c r="L20" s="198" t="s">
        <v>325</v>
      </c>
      <c r="M20" s="199"/>
    </row>
    <row r="21" spans="1:13" ht="14.5" x14ac:dyDescent="0.35">
      <c r="B21" s="49"/>
      <c r="C21" s="50"/>
      <c r="D21" s="51"/>
      <c r="E21" s="104"/>
      <c r="F21" s="50"/>
      <c r="G21" s="50"/>
      <c r="H21" s="51"/>
      <c r="I21" s="51"/>
      <c r="J21" s="50"/>
      <c r="K21" s="94"/>
      <c r="L21" s="51"/>
      <c r="M21" s="52"/>
    </row>
    <row r="22" spans="1:13" ht="14.5" x14ac:dyDescent="0.35"/>
    <row r="23" spans="1:13" ht="18.5" x14ac:dyDescent="0.45">
      <c r="B23" s="207" t="s">
        <v>286</v>
      </c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1:13" ht="33" customHeight="1" x14ac:dyDescent="0.35">
      <c r="B24" s="45" t="s">
        <v>273</v>
      </c>
      <c r="C24" s="159" cm="1">
        <f t="array" aca="1" ref="C24" ca="1">ROWS(_xlfn._xlws.FILTER(FICHA!P11:P94,FICHA!P11:P94&lt;&gt;"-",0))</f>
        <v>1</v>
      </c>
      <c r="D24" s="200" t="str">
        <f ca="1">IF(D19&gt;0,"Existen celdas con ERROR. Por favor, verificar y corregir","")</f>
        <v/>
      </c>
      <c r="E24" s="201"/>
      <c r="F24" s="201"/>
    </row>
    <row r="25" spans="1:13" ht="6" customHeight="1" x14ac:dyDescent="0.35">
      <c r="B25"/>
      <c r="D25"/>
      <c r="E25"/>
      <c r="F25" s="115"/>
    </row>
    <row r="26" spans="1:13" ht="14.5" x14ac:dyDescent="0.35">
      <c r="B26" s="185" t="s">
        <v>292</v>
      </c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1:13" ht="14.5" x14ac:dyDescent="0.35"/>
    <row r="28" spans="1:13" ht="19" customHeight="1" thickBot="1" x14ac:dyDescent="0.4">
      <c r="B28" s="95" t="s">
        <v>287</v>
      </c>
      <c r="C28" s="96" t="s">
        <v>288</v>
      </c>
      <c r="D28" s="96" t="s">
        <v>312</v>
      </c>
      <c r="E28" s="96" t="s">
        <v>0</v>
      </c>
      <c r="F28" s="96" t="s">
        <v>289</v>
      </c>
      <c r="G28" s="96" t="s">
        <v>290</v>
      </c>
      <c r="H28" s="96" t="s">
        <v>58</v>
      </c>
      <c r="I28" s="96" t="s">
        <v>311</v>
      </c>
      <c r="J28" s="97" t="s">
        <v>61</v>
      </c>
      <c r="K28" s="96" t="s">
        <v>329</v>
      </c>
      <c r="L28" s="149" t="s">
        <v>343</v>
      </c>
      <c r="M28" s="98" t="s">
        <v>291</v>
      </c>
    </row>
    <row r="29" spans="1:13" ht="19.5" customHeight="1" x14ac:dyDescent="0.35">
      <c r="A29" s="65"/>
      <c r="B29" s="127" t="str" cm="1">
        <f t="array" aca="1" ref="B29" ca="1">_xlfn.LET(
        _xlpm.datos,FICHA!A11:U94,
        _xlpm.colA_orig,INDEX(_xlpm.datos,,1),
        _xlpm.colB_orig,INDEX(_xlpm.datos,,2),
        _xlpm.colC_orig,INDEX(_xlpm.datos,,3),
        _xlpm.colD_orig,INDEX(_xlpm.datos,,4),
        _xlpm.colE_orig,INDEX(_xlpm.datos,,5),
        _xlpm.colF_orig,INDEX(_xlpm.datos,,6),
        _xlpm.colH_orig,INDEX(_xlpm.datos,,8),
        _xlpm.colI_orig,INDEX(_xlpm.datos,,9),
        _xlpm.colK_orig,INDEX(_xlpm.datos,,11),
        _xlpm.colP_orig,INDEX(_xlpm.datos,,16),
        _xlpm.colQ_orig,INDEX(_xlpm.datos,,17),
        _xlpm.colS_orig,INDEX(_xlpm.datos,,19),
        _xlpm.colT_orig,INDEX(_xlpm.datos,,20),
        _xlpm.fillC,_xlfn.SCAN("",_xlpm.colC_orig,_xlfn.LAMBDA(_xlpm.acc,_xlpm.val,IF(AND(_xlpm.val&lt;&gt;"",_xlpm.val&lt;&gt;0),_xlpm.val,_xlpm.acc))),
        _xlpm.fillD,_xlfn.SCAN("",_xlpm.colD_orig,_xlfn.LAMBDA(_xlpm.acc,_xlpm.val,IF(AND(_xlpm.val&lt;&gt;"",_xlpm.val&lt;&gt;0),_xlpm.val,_xlpm.acc))),
        _xlpm.fillE,_xlfn.SCAN("",_xlpm.colE_orig,_xlfn.LAMBDA(_xlpm.acc,_xlpm.val,IF(AND(_xlpm.val&lt;&gt;"",_xlpm.val&lt;&gt;0),_xlpm.val,_xlpm.acc))),
        _xlpm.colH_fix,_xlfn.MAP(_xlpm.colH_orig,_xlfn.LAMBDA(_xlpm.x,IF(OR(_xlpm.x="",_xlpm.x=0),"-",_xlpm.x))),
        _xlpm.colI_fix,_xlfn.MAP(_xlpm.colI_orig,_xlfn.LAMBDA(_xlpm.x,IF(OR(_xlpm.x="",_xlpm.x=0),"-",_xlpm.x))),
        _xlpm.colS_fix,_xlfn.MAP(_xlpm.colS_orig,_xlfn.LAMBDA(_xlpm.x,IF(OR(_xlpm.x="",_xlpm.x=0),"-",_xlpm.x))),
        _xlpm.colT_fix,_xlfn.MAP(_xlpm.colT_orig,_xlfn.LAMBDA(_xlpm.x,IF(OR(_xlpm.x="",_xlpm.x=0),"-",_xlpm.x))),
        _xlpm.datos_completos,_xlfn.HSTACK(_xlpm.colA_orig,_xlpm.fillC,_xlpm.fillD,_xlpm.fillE,_xlpm.colF_orig,_xlpm.colK_orig,_xlpm.colH_fix,_xlpm.colI_fix,_xlpm.colP_orig,_xlpm.colQ_orig,_xlpm.colT_fix,_xlpm.colS_fix),
        _xlpm.estado_col,INDEX(_xlpm.datos_completos,,9),
        _xlfn._xlws.FILTER(_xlpm.datos_completos,_xlpm.estado_col&lt;&gt;"-","Sin datos")
    )</f>
        <v>Sin datos</v>
      </c>
      <c r="C29" s="213"/>
      <c r="D29" s="127"/>
      <c r="E29" s="128"/>
      <c r="F29" s="129"/>
      <c r="G29" s="130"/>
      <c r="H29" s="31"/>
      <c r="I29" s="31"/>
      <c r="J29" s="54"/>
      <c r="K29" s="56"/>
      <c r="L29" s="161"/>
      <c r="M29" s="130"/>
    </row>
    <row r="30" spans="1:13" ht="19.5" customHeight="1" x14ac:dyDescent="0.35">
      <c r="A30" s="65"/>
      <c r="B30" s="127"/>
      <c r="C30" s="213"/>
      <c r="D30" s="127"/>
      <c r="E30" s="128"/>
      <c r="F30" s="129"/>
      <c r="G30" s="130"/>
      <c r="H30" s="31"/>
      <c r="I30" s="31"/>
      <c r="J30" s="54"/>
      <c r="K30" s="56"/>
      <c r="L30" s="161"/>
      <c r="M30" s="130"/>
    </row>
    <row r="31" spans="1:13" ht="19.5" customHeight="1" x14ac:dyDescent="0.35">
      <c r="A31" s="65"/>
      <c r="B31" s="127"/>
      <c r="C31" s="213"/>
      <c r="D31" s="127"/>
      <c r="E31" s="128"/>
      <c r="F31" s="129"/>
      <c r="G31" s="130"/>
      <c r="H31" s="31"/>
      <c r="I31" s="31"/>
      <c r="J31" s="54"/>
      <c r="K31" s="56"/>
      <c r="L31" s="161"/>
      <c r="M31" s="130"/>
    </row>
    <row r="32" spans="1:13" ht="19.5" customHeight="1" x14ac:dyDescent="0.35">
      <c r="A32" s="65"/>
      <c r="B32" s="127"/>
      <c r="C32" s="213"/>
      <c r="D32" s="127"/>
      <c r="E32" s="128"/>
      <c r="F32" s="129"/>
      <c r="G32" s="130"/>
      <c r="H32" s="31"/>
      <c r="I32" s="31"/>
      <c r="J32" s="54"/>
      <c r="K32" s="56"/>
      <c r="L32" s="161"/>
      <c r="M32" s="130"/>
    </row>
    <row r="33" spans="1:13" ht="19.5" customHeight="1" x14ac:dyDescent="0.35">
      <c r="A33" s="65"/>
      <c r="B33" s="127"/>
      <c r="C33" s="213"/>
      <c r="D33" s="127"/>
      <c r="E33" s="128"/>
      <c r="F33" s="129"/>
      <c r="G33" s="130"/>
      <c r="H33" s="31"/>
      <c r="I33" s="31"/>
      <c r="J33" s="54"/>
      <c r="K33" s="56"/>
      <c r="L33" s="161"/>
      <c r="M33" s="130"/>
    </row>
    <row r="34" spans="1:13" ht="19.5" customHeight="1" x14ac:dyDescent="0.35">
      <c r="A34" s="65"/>
      <c r="C34" s="54"/>
      <c r="D34" s="31"/>
      <c r="E34" s="56"/>
      <c r="F34" s="56"/>
      <c r="G34" s="130"/>
      <c r="H34" s="31"/>
      <c r="I34" s="31"/>
      <c r="J34" s="54"/>
      <c r="K34" s="56"/>
      <c r="L34" s="161"/>
      <c r="M34" s="130"/>
    </row>
    <row r="35" spans="1:13" ht="19.5" customHeight="1" x14ac:dyDescent="0.35">
      <c r="A35" s="65"/>
      <c r="C35" s="54"/>
      <c r="D35" s="31"/>
      <c r="E35" s="56"/>
      <c r="F35" s="56"/>
      <c r="G35" s="130"/>
      <c r="H35" s="31"/>
      <c r="I35" s="31"/>
      <c r="J35" s="54"/>
      <c r="K35" s="56"/>
      <c r="L35" s="161"/>
      <c r="M35" s="130"/>
    </row>
    <row r="36" spans="1:13" ht="19.5" customHeight="1" x14ac:dyDescent="0.35">
      <c r="A36" s="65"/>
      <c r="C36" s="54"/>
      <c r="D36" s="31"/>
      <c r="E36" s="56"/>
      <c r="F36" s="56"/>
      <c r="G36" s="130"/>
      <c r="H36" s="31"/>
      <c r="I36" s="31"/>
      <c r="J36" s="54"/>
      <c r="K36" s="56"/>
      <c r="L36" s="161"/>
      <c r="M36" s="130"/>
    </row>
    <row r="37" spans="1:13" ht="19.5" customHeight="1" x14ac:dyDescent="0.35">
      <c r="A37" s="65"/>
      <c r="C37" s="54"/>
      <c r="D37" s="31"/>
      <c r="E37" s="56"/>
      <c r="F37" s="56"/>
      <c r="G37" s="130"/>
      <c r="H37" s="31"/>
      <c r="I37" s="31"/>
      <c r="J37" s="54"/>
      <c r="K37" s="56"/>
      <c r="L37" s="161"/>
      <c r="M37" s="130"/>
    </row>
    <row r="38" spans="1:13" ht="19.5" customHeight="1" x14ac:dyDescent="0.35">
      <c r="A38" s="65"/>
      <c r="C38" s="54"/>
      <c r="D38" s="31"/>
      <c r="E38" s="56"/>
      <c r="F38" s="56"/>
      <c r="G38" s="130"/>
      <c r="H38" s="31"/>
      <c r="I38" s="31"/>
      <c r="J38" s="54"/>
      <c r="K38" s="56"/>
      <c r="L38" s="161"/>
      <c r="M38" s="130"/>
    </row>
    <row r="39" spans="1:13" ht="19.5" customHeight="1" x14ac:dyDescent="0.35">
      <c r="A39" s="65"/>
      <c r="C39" s="54"/>
      <c r="D39" s="31"/>
      <c r="E39" s="56"/>
      <c r="F39" s="56"/>
      <c r="G39" s="130"/>
      <c r="H39" s="31"/>
      <c r="I39" s="31"/>
      <c r="J39" s="54"/>
      <c r="K39" s="56"/>
      <c r="L39" s="161"/>
      <c r="M39" s="130"/>
    </row>
    <row r="40" spans="1:13" ht="19.5" customHeight="1" x14ac:dyDescent="0.35">
      <c r="A40" s="65"/>
      <c r="C40" s="54"/>
      <c r="D40" s="31"/>
      <c r="E40" s="56"/>
      <c r="F40" s="131"/>
      <c r="G40" s="130"/>
      <c r="H40" s="31"/>
      <c r="I40" s="31"/>
      <c r="J40" s="54"/>
      <c r="K40" s="56"/>
      <c r="L40" s="161"/>
      <c r="M40" s="130"/>
    </row>
    <row r="41" spans="1:13" ht="19.5" customHeight="1" x14ac:dyDescent="0.35">
      <c r="A41" s="65"/>
      <c r="C41" s="54"/>
      <c r="D41" s="31"/>
      <c r="E41" s="56"/>
      <c r="F41" s="131"/>
      <c r="G41" s="130"/>
      <c r="H41" s="31"/>
      <c r="I41" s="31"/>
      <c r="J41" s="54"/>
      <c r="K41" s="56"/>
      <c r="L41" s="161"/>
      <c r="M41" s="130"/>
    </row>
    <row r="42" spans="1:13" ht="19.5" customHeight="1" x14ac:dyDescent="0.35">
      <c r="A42" s="65"/>
      <c r="C42" s="54"/>
      <c r="D42" s="31"/>
      <c r="E42" s="56"/>
      <c r="F42" s="131"/>
      <c r="G42" s="130"/>
      <c r="H42" s="31"/>
      <c r="I42" s="31"/>
      <c r="J42" s="54"/>
      <c r="K42" s="56"/>
      <c r="L42" s="161"/>
      <c r="M42" s="130"/>
    </row>
    <row r="43" spans="1:13" ht="19.5" customHeight="1" x14ac:dyDescent="0.35">
      <c r="A43" s="65"/>
      <c r="C43" s="54"/>
      <c r="D43" s="31"/>
      <c r="E43" s="56"/>
      <c r="F43" s="131"/>
      <c r="G43" s="130"/>
      <c r="H43" s="31"/>
      <c r="I43" s="31"/>
      <c r="J43" s="54"/>
      <c r="K43" s="56"/>
      <c r="L43" s="161"/>
      <c r="M43" s="130"/>
    </row>
    <row r="44" spans="1:13" ht="19.5" customHeight="1" x14ac:dyDescent="0.35">
      <c r="A44" s="65"/>
      <c r="C44" s="54"/>
      <c r="D44" s="31"/>
      <c r="E44" s="56"/>
      <c r="F44" s="131"/>
      <c r="G44" s="130"/>
      <c r="H44" s="31"/>
      <c r="I44" s="31"/>
      <c r="J44" s="54"/>
      <c r="K44" s="56"/>
      <c r="L44" s="161"/>
      <c r="M44" s="130"/>
    </row>
    <row r="45" spans="1:13" ht="19.5" customHeight="1" x14ac:dyDescent="0.35">
      <c r="A45" s="65"/>
      <c r="C45" s="54"/>
      <c r="D45" s="31"/>
      <c r="E45" s="56"/>
      <c r="F45" s="131"/>
      <c r="G45" s="130"/>
      <c r="H45" s="31"/>
      <c r="I45" s="31"/>
      <c r="J45" s="54"/>
      <c r="K45" s="56"/>
      <c r="L45" s="161"/>
      <c r="M45" s="130"/>
    </row>
    <row r="46" spans="1:13" ht="19.5" customHeight="1" x14ac:dyDescent="0.35">
      <c r="A46" s="65"/>
      <c r="C46" s="54"/>
      <c r="D46" s="31"/>
      <c r="E46" s="56"/>
      <c r="F46" s="131"/>
      <c r="G46" s="130"/>
      <c r="H46" s="31"/>
      <c r="I46" s="31"/>
      <c r="J46" s="54"/>
      <c r="K46" s="56"/>
      <c r="L46" s="161"/>
      <c r="M46" s="130"/>
    </row>
    <row r="47" spans="1:13" ht="19.5" customHeight="1" x14ac:dyDescent="0.35">
      <c r="A47" s="65"/>
      <c r="C47" s="54"/>
      <c r="D47" s="31"/>
      <c r="E47" s="56"/>
      <c r="F47" s="131"/>
      <c r="G47" s="130"/>
      <c r="H47" s="31"/>
      <c r="I47" s="31"/>
      <c r="J47" s="54"/>
      <c r="K47" s="56"/>
      <c r="L47" s="161"/>
      <c r="M47" s="130"/>
    </row>
    <row r="48" spans="1:13" ht="19.5" customHeight="1" x14ac:dyDescent="0.35">
      <c r="A48" s="65"/>
      <c r="C48" s="54"/>
      <c r="D48" s="31"/>
      <c r="E48" s="56"/>
      <c r="F48" s="131"/>
      <c r="G48" s="130"/>
      <c r="H48" s="31"/>
      <c r="I48" s="31"/>
      <c r="J48" s="54"/>
      <c r="K48" s="56"/>
      <c r="L48" s="161"/>
      <c r="M48" s="130"/>
    </row>
    <row r="49" spans="1:13" ht="19.5" customHeight="1" x14ac:dyDescent="0.35">
      <c r="A49" s="65"/>
      <c r="C49" s="54"/>
      <c r="D49" s="31"/>
      <c r="E49" s="56"/>
      <c r="F49" s="131"/>
      <c r="G49" s="130"/>
      <c r="H49" s="31"/>
      <c r="I49" s="31"/>
      <c r="J49" s="54"/>
      <c r="K49" s="56"/>
      <c r="L49" s="161"/>
      <c r="M49" s="130"/>
    </row>
    <row r="50" spans="1:13" ht="19.5" customHeight="1" x14ac:dyDescent="0.35">
      <c r="A50" s="125"/>
      <c r="C50" s="53"/>
      <c r="F50" s="132"/>
      <c r="G50" s="133"/>
      <c r="J50" s="54"/>
      <c r="K50" s="56"/>
      <c r="L50" s="162"/>
      <c r="M50" s="133"/>
    </row>
    <row r="51" spans="1:13" ht="19.5" customHeight="1" x14ac:dyDescent="0.35">
      <c r="A51" s="125"/>
      <c r="C51" s="53"/>
      <c r="F51" s="132"/>
      <c r="G51" s="133"/>
      <c r="J51" s="54"/>
      <c r="K51" s="56"/>
      <c r="L51" s="162"/>
      <c r="M51" s="133"/>
    </row>
    <row r="52" spans="1:13" ht="19.5" customHeight="1" x14ac:dyDescent="0.35">
      <c r="A52" s="125"/>
      <c r="C52" s="53"/>
      <c r="F52" s="132"/>
      <c r="G52" s="133"/>
      <c r="J52" s="54"/>
      <c r="K52" s="56"/>
      <c r="L52" s="162"/>
      <c r="M52" s="133"/>
    </row>
    <row r="53" spans="1:13" ht="19.5" customHeight="1" x14ac:dyDescent="0.35">
      <c r="A53" s="125"/>
      <c r="C53" s="53"/>
      <c r="F53" s="132"/>
      <c r="G53" s="133"/>
      <c r="J53" s="54"/>
      <c r="K53" s="56"/>
      <c r="L53" s="162"/>
      <c r="M53" s="133"/>
    </row>
    <row r="54" spans="1:13" ht="19.5" customHeight="1" x14ac:dyDescent="0.35">
      <c r="A54" s="125"/>
      <c r="C54" s="53"/>
      <c r="F54" s="132"/>
      <c r="G54" s="133"/>
      <c r="J54" s="54"/>
      <c r="K54" s="56"/>
      <c r="L54" s="162"/>
      <c r="M54" s="133"/>
    </row>
    <row r="55" spans="1:13" ht="19.5" customHeight="1" x14ac:dyDescent="0.35">
      <c r="A55" s="125"/>
      <c r="C55" s="53"/>
      <c r="F55" s="132"/>
      <c r="G55" s="133"/>
      <c r="J55" s="54"/>
      <c r="K55" s="56"/>
      <c r="L55" s="162"/>
      <c r="M55" s="133"/>
    </row>
    <row r="56" spans="1:13" ht="19.5" customHeight="1" x14ac:dyDescent="0.35">
      <c r="A56" s="125"/>
      <c r="C56" s="53"/>
      <c r="F56" s="132"/>
      <c r="G56" s="133"/>
      <c r="J56" s="54"/>
      <c r="K56" s="56"/>
      <c r="L56" s="162"/>
      <c r="M56" s="133"/>
    </row>
    <row r="57" spans="1:13" ht="19.5" customHeight="1" x14ac:dyDescent="0.35">
      <c r="A57" s="125"/>
      <c r="C57" s="53"/>
      <c r="F57" s="132"/>
      <c r="G57" s="133"/>
      <c r="J57" s="54"/>
      <c r="K57" s="56"/>
      <c r="L57" s="162"/>
      <c r="M57" s="133"/>
    </row>
    <row r="58" spans="1:13" ht="19.5" customHeight="1" x14ac:dyDescent="0.35">
      <c r="A58" s="125"/>
      <c r="C58" s="53"/>
      <c r="F58" s="132"/>
      <c r="G58" s="133"/>
      <c r="J58" s="54"/>
      <c r="K58" s="56"/>
      <c r="L58" s="162"/>
      <c r="M58" s="133"/>
    </row>
    <row r="59" spans="1:13" ht="19.5" customHeight="1" x14ac:dyDescent="0.35">
      <c r="A59" s="125"/>
      <c r="C59" s="53"/>
      <c r="F59" s="132"/>
      <c r="G59" s="133"/>
      <c r="J59" s="54"/>
      <c r="K59" s="56"/>
      <c r="L59" s="162"/>
      <c r="M59" s="133"/>
    </row>
    <row r="60" spans="1:13" ht="19.5" customHeight="1" x14ac:dyDescent="0.35">
      <c r="A60" s="125"/>
      <c r="C60" s="53"/>
      <c r="F60" s="132"/>
      <c r="G60" s="133"/>
      <c r="J60" s="54"/>
      <c r="K60" s="56"/>
      <c r="L60" s="162"/>
      <c r="M60" s="133"/>
    </row>
    <row r="61" spans="1:13" ht="19.5" customHeight="1" x14ac:dyDescent="0.35">
      <c r="A61" s="125"/>
      <c r="C61" s="53"/>
      <c r="F61" s="132"/>
      <c r="G61" s="133"/>
      <c r="J61" s="54"/>
      <c r="K61" s="56"/>
      <c r="L61" s="162"/>
      <c r="M61" s="133"/>
    </row>
    <row r="62" spans="1:13" ht="19.5" customHeight="1" x14ac:dyDescent="0.35">
      <c r="A62" s="125"/>
      <c r="C62" s="53"/>
      <c r="F62" s="132"/>
      <c r="G62" s="133"/>
      <c r="J62" s="54"/>
      <c r="K62" s="56"/>
      <c r="L62" s="162"/>
      <c r="M62" s="133"/>
    </row>
    <row r="63" spans="1:13" ht="19.5" customHeight="1" x14ac:dyDescent="0.35">
      <c r="A63" s="125"/>
      <c r="C63" s="53"/>
      <c r="F63" s="132"/>
      <c r="G63" s="133"/>
      <c r="J63" s="54"/>
      <c r="K63" s="56"/>
      <c r="L63" s="162"/>
      <c r="M63" s="133"/>
    </row>
    <row r="64" spans="1:13" ht="19.5" customHeight="1" x14ac:dyDescent="0.35">
      <c r="A64" s="125"/>
      <c r="C64" s="53"/>
      <c r="F64" s="132"/>
      <c r="G64" s="133"/>
      <c r="J64" s="54"/>
      <c r="K64" s="56"/>
      <c r="L64" s="162"/>
      <c r="M64" s="133"/>
    </row>
    <row r="65" spans="1:13" ht="19.5" customHeight="1" x14ac:dyDescent="0.35">
      <c r="A65" s="125"/>
      <c r="C65" s="53"/>
      <c r="F65" s="132"/>
      <c r="G65" s="133"/>
      <c r="J65" s="54"/>
      <c r="K65" s="56"/>
      <c r="L65" s="162"/>
      <c r="M65" s="133"/>
    </row>
    <row r="66" spans="1:13" ht="19.5" customHeight="1" x14ac:dyDescent="0.35">
      <c r="A66" s="125"/>
      <c r="C66" s="53"/>
      <c r="F66" s="132"/>
      <c r="G66" s="133"/>
      <c r="J66" s="54"/>
      <c r="K66" s="56"/>
      <c r="L66" s="162"/>
      <c r="M66" s="133"/>
    </row>
    <row r="67" spans="1:13" ht="19.5" customHeight="1" x14ac:dyDescent="0.35">
      <c r="A67" s="125"/>
      <c r="C67" s="53"/>
      <c r="F67" s="132"/>
      <c r="G67" s="133"/>
      <c r="J67" s="54"/>
      <c r="K67" s="56"/>
      <c r="L67" s="162"/>
      <c r="M67" s="133"/>
    </row>
    <row r="68" spans="1:13" ht="19.5" customHeight="1" x14ac:dyDescent="0.35">
      <c r="A68" s="125"/>
      <c r="C68" s="53"/>
      <c r="F68" s="132"/>
      <c r="G68" s="133"/>
      <c r="J68" s="54"/>
      <c r="K68" s="56"/>
      <c r="L68" s="162"/>
      <c r="M68" s="133"/>
    </row>
    <row r="69" spans="1:13" ht="19.5" customHeight="1" x14ac:dyDescent="0.35">
      <c r="A69" s="125"/>
      <c r="C69" s="53"/>
      <c r="F69" s="132"/>
      <c r="G69" s="133"/>
      <c r="J69" s="54"/>
      <c r="K69" s="56"/>
      <c r="L69" s="162"/>
      <c r="M69" s="133"/>
    </row>
    <row r="70" spans="1:13" ht="19.5" customHeight="1" x14ac:dyDescent="0.35">
      <c r="A70" s="125"/>
      <c r="C70" s="53"/>
      <c r="F70" s="132"/>
      <c r="G70" s="133"/>
      <c r="J70" s="54"/>
      <c r="K70" s="56"/>
      <c r="L70" s="162"/>
      <c r="M70" s="133"/>
    </row>
    <row r="71" spans="1:13" ht="19.5" customHeight="1" x14ac:dyDescent="0.35">
      <c r="A71" s="125"/>
      <c r="C71" s="53"/>
      <c r="F71" s="132"/>
      <c r="G71" s="133"/>
      <c r="J71" s="54"/>
      <c r="K71" s="56"/>
      <c r="L71" s="162"/>
      <c r="M71" s="133"/>
    </row>
    <row r="72" spans="1:13" ht="19.5" customHeight="1" x14ac:dyDescent="0.35">
      <c r="A72" s="125"/>
      <c r="C72" s="53"/>
      <c r="F72" s="132"/>
      <c r="G72" s="133"/>
      <c r="J72" s="54"/>
      <c r="K72" s="56"/>
      <c r="L72" s="162"/>
      <c r="M72" s="133"/>
    </row>
    <row r="73" spans="1:13" ht="19.5" customHeight="1" x14ac:dyDescent="0.35">
      <c r="A73" s="125"/>
      <c r="C73" s="53"/>
      <c r="F73" s="132"/>
      <c r="G73" s="133"/>
      <c r="J73" s="54"/>
      <c r="K73" s="56"/>
      <c r="L73" s="162"/>
      <c r="M73" s="133"/>
    </row>
    <row r="74" spans="1:13" ht="19.5" customHeight="1" x14ac:dyDescent="0.35">
      <c r="A74" s="125"/>
      <c r="C74" s="53"/>
      <c r="F74" s="132"/>
      <c r="G74" s="133"/>
      <c r="J74" s="54"/>
      <c r="K74" s="56"/>
      <c r="L74" s="162"/>
      <c r="M74" s="133"/>
    </row>
    <row r="75" spans="1:13" ht="19.5" customHeight="1" x14ac:dyDescent="0.35">
      <c r="A75" s="125"/>
      <c r="C75" s="53"/>
      <c r="F75" s="132"/>
      <c r="G75" s="133"/>
      <c r="J75" s="54"/>
      <c r="K75" s="56"/>
      <c r="L75" s="162"/>
      <c r="M75" s="133"/>
    </row>
    <row r="76" spans="1:13" ht="19.5" customHeight="1" x14ac:dyDescent="0.35">
      <c r="A76" s="125"/>
      <c r="C76" s="53"/>
      <c r="F76" s="132"/>
      <c r="G76" s="133"/>
      <c r="J76" s="54"/>
      <c r="K76" s="56"/>
      <c r="L76" s="162"/>
      <c r="M76" s="133"/>
    </row>
    <row r="77" spans="1:13" ht="19.5" customHeight="1" x14ac:dyDescent="0.35">
      <c r="A77" s="125"/>
      <c r="C77" s="53"/>
      <c r="F77" s="132"/>
      <c r="G77" s="133"/>
      <c r="J77" s="54"/>
      <c r="K77" s="56"/>
      <c r="L77" s="162"/>
      <c r="M77" s="133"/>
    </row>
    <row r="78" spans="1:13" ht="19.5" customHeight="1" x14ac:dyDescent="0.35">
      <c r="A78" s="125"/>
      <c r="C78" s="53"/>
      <c r="F78" s="132"/>
      <c r="G78" s="133"/>
      <c r="J78" s="54"/>
      <c r="K78" s="56"/>
      <c r="L78" s="162"/>
      <c r="M78" s="133"/>
    </row>
    <row r="79" spans="1:13" ht="19.5" customHeight="1" x14ac:dyDescent="0.35">
      <c r="A79" s="125"/>
      <c r="C79" s="53"/>
      <c r="F79" s="132"/>
      <c r="G79" s="133"/>
      <c r="J79" s="54"/>
      <c r="K79" s="56"/>
      <c r="L79" s="162"/>
      <c r="M79" s="133"/>
    </row>
    <row r="80" spans="1:13" ht="19.5" customHeight="1" x14ac:dyDescent="0.35">
      <c r="A80" s="125"/>
      <c r="C80" s="53"/>
      <c r="F80" s="132"/>
      <c r="G80" s="133"/>
      <c r="J80" s="54"/>
      <c r="K80" s="56"/>
      <c r="L80" s="162"/>
      <c r="M80" s="133"/>
    </row>
    <row r="81" spans="1:13" ht="19.5" customHeight="1" x14ac:dyDescent="0.35">
      <c r="A81" s="125"/>
      <c r="C81" s="53"/>
      <c r="F81" s="132"/>
      <c r="G81" s="133"/>
      <c r="J81" s="54"/>
      <c r="K81" s="56"/>
      <c r="L81" s="162"/>
      <c r="M81" s="133"/>
    </row>
    <row r="82" spans="1:13" ht="19.5" customHeight="1" x14ac:dyDescent="0.35">
      <c r="A82" s="125"/>
      <c r="C82" s="53"/>
      <c r="F82" s="132"/>
      <c r="G82" s="133"/>
      <c r="J82" s="54"/>
      <c r="K82" s="56"/>
      <c r="L82" s="162"/>
      <c r="M82" s="133"/>
    </row>
    <row r="83" spans="1:13" ht="19.5" customHeight="1" x14ac:dyDescent="0.35">
      <c r="A83" s="125"/>
      <c r="C83" s="53"/>
      <c r="F83" s="132"/>
      <c r="G83" s="133"/>
      <c r="J83" s="54"/>
      <c r="K83" s="56"/>
      <c r="L83" s="162"/>
      <c r="M83" s="133"/>
    </row>
    <row r="84" spans="1:13" ht="19.5" customHeight="1" x14ac:dyDescent="0.35">
      <c r="A84" s="125"/>
      <c r="C84" s="53"/>
      <c r="F84" s="132"/>
      <c r="G84" s="133"/>
      <c r="J84" s="54"/>
      <c r="K84" s="56"/>
      <c r="L84" s="162"/>
      <c r="M84" s="133"/>
    </row>
    <row r="85" spans="1:13" ht="19.5" customHeight="1" x14ac:dyDescent="0.35">
      <c r="A85" s="125"/>
      <c r="C85" s="53"/>
      <c r="F85" s="132"/>
      <c r="G85" s="133"/>
      <c r="J85" s="54"/>
      <c r="K85" s="56"/>
      <c r="L85" s="162"/>
      <c r="M85" s="133"/>
    </row>
    <row r="86" spans="1:13" ht="19.5" customHeight="1" x14ac:dyDescent="0.35">
      <c r="A86" s="125"/>
      <c r="C86" s="53"/>
      <c r="F86" s="132"/>
      <c r="G86" s="133"/>
      <c r="J86" s="54"/>
      <c r="K86" s="56"/>
      <c r="L86" s="162"/>
      <c r="M86" s="133"/>
    </row>
    <row r="87" spans="1:13" ht="19.5" customHeight="1" x14ac:dyDescent="0.35">
      <c r="A87" s="125"/>
      <c r="C87" s="53"/>
      <c r="F87" s="132"/>
      <c r="G87" s="133"/>
      <c r="J87" s="54"/>
      <c r="K87" s="56"/>
      <c r="L87" s="162"/>
      <c r="M87" s="133"/>
    </row>
    <row r="88" spans="1:13" ht="19.5" customHeight="1" x14ac:dyDescent="0.35">
      <c r="A88" s="125"/>
      <c r="C88" s="53"/>
      <c r="F88" s="132"/>
      <c r="G88" s="133"/>
      <c r="J88" s="54"/>
      <c r="K88" s="56"/>
      <c r="L88" s="162"/>
      <c r="M88" s="133"/>
    </row>
    <row r="89" spans="1:13" ht="19.5" customHeight="1" x14ac:dyDescent="0.35">
      <c r="A89" s="125"/>
      <c r="C89" s="53"/>
      <c r="F89" s="132"/>
      <c r="G89" s="133"/>
      <c r="J89" s="54"/>
      <c r="K89" s="56"/>
      <c r="L89" s="162"/>
      <c r="M89" s="133"/>
    </row>
    <row r="90" spans="1:13" ht="19.5" customHeight="1" x14ac:dyDescent="0.35">
      <c r="A90" s="125"/>
      <c r="C90" s="53"/>
      <c r="F90" s="132"/>
      <c r="G90" s="133"/>
      <c r="J90" s="54"/>
      <c r="K90" s="56"/>
      <c r="L90" s="162"/>
      <c r="M90" s="133"/>
    </row>
    <row r="91" spans="1:13" ht="19.5" customHeight="1" x14ac:dyDescent="0.35">
      <c r="A91" s="125"/>
      <c r="C91" s="53"/>
      <c r="F91" s="132"/>
      <c r="G91" s="133"/>
      <c r="J91" s="54"/>
      <c r="K91" s="56"/>
      <c r="L91" s="162"/>
      <c r="M91" s="133"/>
    </row>
    <row r="92" spans="1:13" ht="19.5" customHeight="1" x14ac:dyDescent="0.35">
      <c r="A92" s="125"/>
      <c r="C92" s="53"/>
      <c r="F92" s="132"/>
      <c r="G92" s="133"/>
      <c r="J92" s="54"/>
      <c r="K92" s="56"/>
      <c r="L92" s="162"/>
      <c r="M92" s="133"/>
    </row>
    <row r="93" spans="1:13" ht="19.5" customHeight="1" x14ac:dyDescent="0.35">
      <c r="A93" s="125"/>
      <c r="C93" s="53"/>
      <c r="F93" s="132"/>
      <c r="G93" s="133"/>
      <c r="J93" s="54"/>
      <c r="K93" s="56"/>
      <c r="L93" s="162"/>
      <c r="M93" s="133"/>
    </row>
    <row r="94" spans="1:13" ht="19.5" customHeight="1" x14ac:dyDescent="0.35">
      <c r="A94" s="125"/>
      <c r="C94" s="53"/>
      <c r="F94" s="132"/>
      <c r="G94" s="133"/>
      <c r="J94" s="54"/>
      <c r="K94" s="56"/>
      <c r="L94" s="162"/>
      <c r="M94" s="133"/>
    </row>
    <row r="95" spans="1:13" ht="19.5" customHeight="1" x14ac:dyDescent="0.35">
      <c r="A95" s="125"/>
      <c r="C95" s="53"/>
      <c r="F95" s="132"/>
      <c r="G95" s="133"/>
      <c r="J95" s="54"/>
      <c r="K95" s="56"/>
      <c r="L95" s="162"/>
      <c r="M95" s="133"/>
    </row>
    <row r="96" spans="1:13" ht="19.5" customHeight="1" x14ac:dyDescent="0.35">
      <c r="A96" s="125"/>
      <c r="C96" s="53"/>
      <c r="F96" s="132"/>
      <c r="G96" s="133"/>
      <c r="J96" s="54"/>
      <c r="K96" s="56"/>
      <c r="L96" s="162"/>
      <c r="M96" s="133"/>
    </row>
    <row r="97" spans="1:13" ht="19.5" customHeight="1" x14ac:dyDescent="0.35">
      <c r="A97" s="125"/>
      <c r="C97" s="53"/>
      <c r="F97" s="132"/>
      <c r="G97" s="133"/>
      <c r="J97" s="54"/>
      <c r="K97" s="56"/>
      <c r="L97" s="162"/>
      <c r="M97" s="133"/>
    </row>
    <row r="98" spans="1:13" ht="19.5" customHeight="1" x14ac:dyDescent="0.35">
      <c r="A98" s="125"/>
      <c r="C98" s="53"/>
      <c r="F98" s="132"/>
      <c r="G98" s="133"/>
      <c r="J98" s="54"/>
      <c r="K98" s="56"/>
      <c r="L98" s="162"/>
      <c r="M98" s="133"/>
    </row>
    <row r="99" spans="1:13" ht="19.5" customHeight="1" x14ac:dyDescent="0.35">
      <c r="A99" s="125"/>
      <c r="C99" s="53"/>
      <c r="F99" s="132"/>
      <c r="G99" s="133"/>
      <c r="J99" s="54"/>
      <c r="K99" s="56"/>
      <c r="L99" s="162"/>
      <c r="M99" s="133"/>
    </row>
    <row r="100" spans="1:13" ht="19.5" customHeight="1" x14ac:dyDescent="0.35">
      <c r="A100" s="125"/>
      <c r="C100" s="53"/>
      <c r="F100" s="132"/>
      <c r="G100" s="133"/>
      <c r="J100" s="54"/>
      <c r="K100" s="56"/>
      <c r="L100" s="162"/>
      <c r="M100" s="133"/>
    </row>
    <row r="101" spans="1:13" ht="19.5" customHeight="1" x14ac:dyDescent="0.35">
      <c r="A101" s="125"/>
      <c r="C101" s="53"/>
      <c r="F101" s="132"/>
      <c r="G101" s="133"/>
      <c r="J101" s="54"/>
      <c r="K101" s="56"/>
      <c r="L101" s="162"/>
      <c r="M101" s="133"/>
    </row>
    <row r="102" spans="1:13" ht="19.5" customHeight="1" x14ac:dyDescent="0.35">
      <c r="A102" s="125"/>
      <c r="C102" s="53"/>
      <c r="F102" s="132"/>
      <c r="G102" s="133"/>
      <c r="J102" s="54"/>
      <c r="K102" s="56"/>
      <c r="L102" s="162"/>
    </row>
    <row r="103" spans="1:13" ht="19.5" customHeight="1" x14ac:dyDescent="0.35">
      <c r="A103" s="125"/>
      <c r="C103" s="53"/>
      <c r="F103" s="132"/>
      <c r="G103" s="133"/>
      <c r="J103" s="54"/>
      <c r="K103" s="56"/>
      <c r="L103" s="162"/>
    </row>
    <row r="104" spans="1:13" ht="19.5" customHeight="1" x14ac:dyDescent="0.35">
      <c r="A104" s="125"/>
      <c r="C104" s="53"/>
      <c r="F104" s="132"/>
      <c r="G104" s="133"/>
      <c r="J104" s="54"/>
      <c r="K104" s="56"/>
      <c r="L104" s="162"/>
    </row>
    <row r="105" spans="1:13" ht="19.5" customHeight="1" x14ac:dyDescent="0.35">
      <c r="A105" s="125"/>
      <c r="C105" s="53"/>
      <c r="F105" s="132"/>
      <c r="G105" s="133"/>
      <c r="J105" s="54"/>
      <c r="K105" s="56"/>
      <c r="L105" s="162"/>
    </row>
    <row r="106" spans="1:13" ht="19.5" customHeight="1" x14ac:dyDescent="0.35">
      <c r="A106" s="125"/>
      <c r="C106" s="53"/>
      <c r="F106" s="132"/>
      <c r="G106" s="133"/>
      <c r="J106" s="54"/>
      <c r="K106" s="56"/>
      <c r="L106" s="162"/>
    </row>
    <row r="107" spans="1:13" ht="19.5" customHeight="1" x14ac:dyDescent="0.35">
      <c r="A107" s="125"/>
      <c r="C107" s="53"/>
      <c r="F107" s="132"/>
      <c r="G107" s="133"/>
      <c r="J107" s="54"/>
      <c r="K107" s="56"/>
      <c r="L107" s="162"/>
    </row>
    <row r="108" spans="1:13" ht="19.5" customHeight="1" x14ac:dyDescent="0.35">
      <c r="A108" s="125"/>
      <c r="C108" s="53"/>
      <c r="F108" s="132"/>
      <c r="G108" s="133"/>
      <c r="J108" s="54"/>
      <c r="K108" s="56"/>
      <c r="L108" s="162"/>
    </row>
    <row r="109" spans="1:13" ht="19.5" customHeight="1" x14ac:dyDescent="0.35">
      <c r="A109" s="125"/>
      <c r="C109" s="53"/>
      <c r="F109" s="132"/>
      <c r="G109" s="133"/>
      <c r="J109" s="54"/>
      <c r="K109" s="56"/>
      <c r="L109" s="162"/>
    </row>
    <row r="110" spans="1:13" ht="19.5" customHeight="1" x14ac:dyDescent="0.35">
      <c r="A110" s="125"/>
      <c r="C110" s="53"/>
      <c r="F110" s="132"/>
      <c r="G110" s="133"/>
      <c r="J110" s="54"/>
      <c r="K110" s="56"/>
      <c r="L110" s="162"/>
    </row>
    <row r="111" spans="1:13" ht="19.5" customHeight="1" x14ac:dyDescent="0.35">
      <c r="A111" s="125"/>
      <c r="C111" s="53"/>
      <c r="F111" s="132"/>
      <c r="G111" s="133"/>
      <c r="J111" s="54"/>
      <c r="K111" s="56"/>
      <c r="L111" s="162"/>
    </row>
    <row r="112" spans="1:13" ht="19.5" customHeight="1" x14ac:dyDescent="0.35">
      <c r="A112" s="125"/>
      <c r="C112" s="53"/>
      <c r="F112" s="132"/>
      <c r="G112" s="133"/>
      <c r="J112" s="54"/>
      <c r="K112" s="56"/>
      <c r="L112" s="162"/>
    </row>
    <row r="113" spans="1:12" ht="19.5" customHeight="1" x14ac:dyDescent="0.35">
      <c r="A113" s="125"/>
      <c r="C113" s="53"/>
      <c r="F113" s="40"/>
      <c r="G113" s="133"/>
      <c r="J113" s="54"/>
      <c r="K113" s="56"/>
      <c r="L113" s="163"/>
    </row>
    <row r="114" spans="1:12" ht="19.5" customHeight="1" x14ac:dyDescent="0.35">
      <c r="A114" s="125"/>
      <c r="C114" s="53"/>
      <c r="F114" s="40"/>
      <c r="G114" s="133"/>
      <c r="J114" s="54"/>
      <c r="K114" s="56"/>
      <c r="L114" s="163"/>
    </row>
    <row r="115" spans="1:12" ht="19.5" customHeight="1" x14ac:dyDescent="0.35">
      <c r="A115" s="125"/>
      <c r="C115" s="53"/>
      <c r="F115" s="40"/>
      <c r="G115" s="133"/>
      <c r="J115" s="54"/>
      <c r="K115" s="56"/>
      <c r="L115" s="163"/>
    </row>
    <row r="116" spans="1:12" ht="19.5" customHeight="1" x14ac:dyDescent="0.35">
      <c r="A116" s="125"/>
      <c r="C116" s="53"/>
      <c r="F116" s="40"/>
      <c r="G116" s="133"/>
      <c r="J116" s="54"/>
      <c r="K116" s="56"/>
      <c r="L116" s="163"/>
    </row>
    <row r="117" spans="1:12" ht="19.5" customHeight="1" x14ac:dyDescent="0.35">
      <c r="A117" s="125"/>
      <c r="C117" s="53"/>
      <c r="F117" s="40"/>
      <c r="G117" s="133"/>
      <c r="J117" s="54"/>
      <c r="K117" s="56"/>
      <c r="L117" s="163"/>
    </row>
    <row r="118" spans="1:12" ht="19.5" customHeight="1" x14ac:dyDescent="0.35">
      <c r="A118" s="125"/>
      <c r="C118" s="53"/>
      <c r="F118" s="40"/>
      <c r="G118" s="133"/>
      <c r="J118" s="54"/>
      <c r="K118" s="56"/>
      <c r="L118" s="163"/>
    </row>
    <row r="119" spans="1:12" ht="19.5" customHeight="1" x14ac:dyDescent="0.35">
      <c r="A119" s="125"/>
      <c r="C119" s="53"/>
      <c r="F119" s="40"/>
      <c r="G119" s="133"/>
      <c r="J119" s="54"/>
      <c r="K119" s="56"/>
      <c r="L119" s="163"/>
    </row>
    <row r="120" spans="1:12" ht="19.5" customHeight="1" x14ac:dyDescent="0.35">
      <c r="A120" s="125"/>
      <c r="C120" s="53"/>
      <c r="F120" s="40"/>
      <c r="G120" s="133"/>
      <c r="J120" s="54"/>
      <c r="K120" s="56"/>
      <c r="L120" s="163"/>
    </row>
    <row r="121" spans="1:12" ht="19.5" customHeight="1" x14ac:dyDescent="0.35">
      <c r="A121" s="125"/>
      <c r="C121" s="53"/>
      <c r="F121" s="40"/>
      <c r="G121" s="133"/>
      <c r="J121" s="54"/>
      <c r="K121" s="56"/>
      <c r="L121" s="163"/>
    </row>
    <row r="122" spans="1:12" ht="19.5" customHeight="1" x14ac:dyDescent="0.35">
      <c r="A122" s="125"/>
      <c r="C122" s="53"/>
      <c r="F122" s="40"/>
      <c r="G122" s="133"/>
      <c r="J122" s="54"/>
      <c r="K122" s="56"/>
      <c r="L122" s="163"/>
    </row>
    <row r="123" spans="1:12" ht="19.5" customHeight="1" x14ac:dyDescent="0.35">
      <c r="A123" s="125"/>
      <c r="C123" s="53"/>
      <c r="F123" s="40"/>
      <c r="J123" s="54"/>
      <c r="K123" s="56"/>
      <c r="L123" s="163"/>
    </row>
    <row r="124" spans="1:12" ht="19.5" customHeight="1" x14ac:dyDescent="0.35">
      <c r="A124" s="125"/>
      <c r="C124" s="53"/>
      <c r="F124" s="40"/>
      <c r="J124" s="54"/>
      <c r="K124" s="56"/>
      <c r="L124" s="163"/>
    </row>
    <row r="125" spans="1:12" ht="19.5" customHeight="1" x14ac:dyDescent="0.35">
      <c r="A125" s="125"/>
      <c r="C125" s="53"/>
      <c r="F125" s="40"/>
      <c r="J125" s="54"/>
      <c r="K125" s="56"/>
      <c r="L125" s="163"/>
    </row>
    <row r="126" spans="1:12" ht="19.5" customHeight="1" x14ac:dyDescent="0.35">
      <c r="A126" s="125"/>
      <c r="C126" s="53"/>
      <c r="F126" s="40"/>
      <c r="J126" s="54"/>
      <c r="K126" s="56"/>
      <c r="L126" s="163"/>
    </row>
    <row r="127" spans="1:12" ht="19.5" customHeight="1" x14ac:dyDescent="0.35">
      <c r="A127" s="125"/>
      <c r="C127" s="53"/>
      <c r="F127" s="40"/>
      <c r="J127" s="54"/>
      <c r="K127" s="56"/>
      <c r="L127" s="163"/>
    </row>
    <row r="128" spans="1:12" ht="19.5" customHeight="1" x14ac:dyDescent="0.35">
      <c r="A128" s="125"/>
      <c r="C128" s="53"/>
      <c r="F128" s="40"/>
      <c r="J128" s="54"/>
      <c r="K128" s="56"/>
      <c r="L128" s="163"/>
    </row>
    <row r="129" spans="1:12" ht="19.5" customHeight="1" x14ac:dyDescent="0.35">
      <c r="A129" s="125"/>
      <c r="C129" s="53"/>
      <c r="F129" s="40"/>
      <c r="J129" s="54"/>
      <c r="K129" s="56"/>
      <c r="L129" s="163"/>
    </row>
    <row r="130" spans="1:12" ht="19.5" customHeight="1" x14ac:dyDescent="0.35">
      <c r="A130" s="125"/>
      <c r="C130" s="125"/>
      <c r="F130" s="40"/>
      <c r="J130" s="54"/>
      <c r="K130" s="56"/>
      <c r="L130" s="163"/>
    </row>
    <row r="131" spans="1:12" ht="19.5" customHeight="1" x14ac:dyDescent="0.35">
      <c r="A131" s="125"/>
      <c r="C131" s="125"/>
      <c r="F131" s="40"/>
      <c r="J131" s="54"/>
      <c r="K131" s="56"/>
      <c r="L131" s="163"/>
    </row>
    <row r="132" spans="1:12" ht="19.5" customHeight="1" x14ac:dyDescent="0.35">
      <c r="A132" s="125"/>
      <c r="C132" s="125"/>
      <c r="F132" s="40"/>
      <c r="J132" s="54"/>
      <c r="K132" s="56"/>
      <c r="L132" s="163"/>
    </row>
    <row r="133" spans="1:12" ht="19.5" customHeight="1" x14ac:dyDescent="0.35">
      <c r="A133" s="125"/>
      <c r="C133" s="125"/>
      <c r="F133" s="40"/>
      <c r="J133" s="54"/>
      <c r="K133" s="56"/>
      <c r="L133" s="163"/>
    </row>
    <row r="134" spans="1:12" ht="19.5" customHeight="1" x14ac:dyDescent="0.35">
      <c r="A134" s="125"/>
      <c r="C134" s="125"/>
      <c r="F134" s="40"/>
      <c r="J134" s="54"/>
      <c r="K134" s="56"/>
      <c r="L134" s="163"/>
    </row>
    <row r="135" spans="1:12" ht="19.5" customHeight="1" x14ac:dyDescent="0.35">
      <c r="A135" s="125"/>
      <c r="C135" s="125"/>
      <c r="F135" s="40"/>
      <c r="J135" s="54"/>
      <c r="K135" s="56"/>
      <c r="L135" s="163"/>
    </row>
    <row r="136" spans="1:12" ht="19.5" customHeight="1" x14ac:dyDescent="0.35">
      <c r="A136" s="125"/>
      <c r="C136" s="125"/>
      <c r="F136" s="40"/>
      <c r="J136" s="54"/>
      <c r="K136" s="56"/>
      <c r="L136" s="163"/>
    </row>
    <row r="137" spans="1:12" ht="19.5" customHeight="1" x14ac:dyDescent="0.35">
      <c r="A137" s="125"/>
      <c r="C137" s="125"/>
      <c r="F137" s="40"/>
      <c r="J137" s="54"/>
      <c r="K137" s="56"/>
      <c r="L137" s="163"/>
    </row>
    <row r="138" spans="1:12" ht="19.5" customHeight="1" x14ac:dyDescent="0.35">
      <c r="A138" s="125"/>
      <c r="C138" s="125"/>
      <c r="F138" s="40"/>
      <c r="J138" s="54"/>
      <c r="K138" s="56"/>
      <c r="L138" s="163"/>
    </row>
    <row r="139" spans="1:12" ht="19.5" customHeight="1" x14ac:dyDescent="0.35">
      <c r="A139" s="125"/>
      <c r="C139" s="125"/>
      <c r="F139" s="40"/>
      <c r="J139" s="54"/>
      <c r="K139" s="56"/>
      <c r="L139" s="163"/>
    </row>
    <row r="140" spans="1:12" ht="19.5" customHeight="1" x14ac:dyDescent="0.35">
      <c r="A140" s="125"/>
      <c r="C140" s="125"/>
      <c r="F140" s="40"/>
      <c r="J140" s="54"/>
      <c r="K140" s="56"/>
      <c r="L140" s="163"/>
    </row>
    <row r="141" spans="1:12" ht="19.5" customHeight="1" x14ac:dyDescent="0.35">
      <c r="A141" s="125"/>
      <c r="C141" s="125"/>
      <c r="F141" s="40"/>
      <c r="J141" s="54"/>
      <c r="K141" s="56"/>
      <c r="L141" s="163"/>
    </row>
    <row r="142" spans="1:12" ht="19.5" customHeight="1" x14ac:dyDescent="0.35">
      <c r="A142" s="125"/>
      <c r="C142" s="125"/>
      <c r="F142" s="40"/>
      <c r="J142" s="54"/>
      <c r="K142" s="56"/>
      <c r="L142" s="163"/>
    </row>
    <row r="143" spans="1:12" ht="19.5" customHeight="1" x14ac:dyDescent="0.35">
      <c r="A143" s="125"/>
      <c r="C143" s="125"/>
      <c r="F143" s="40"/>
      <c r="J143" s="54"/>
      <c r="K143" s="56"/>
      <c r="L143" s="163"/>
    </row>
    <row r="144" spans="1:12" ht="19.5" customHeight="1" x14ac:dyDescent="0.35">
      <c r="A144" s="125"/>
      <c r="C144" s="125"/>
      <c r="F144" s="40"/>
      <c r="J144" s="54"/>
      <c r="K144" s="56"/>
      <c r="L144" s="163"/>
    </row>
    <row r="145" spans="1:12" ht="19.5" customHeight="1" x14ac:dyDescent="0.35">
      <c r="A145" s="125"/>
      <c r="C145" s="125"/>
      <c r="F145" s="40"/>
      <c r="J145" s="54"/>
      <c r="K145" s="56"/>
      <c r="L145" s="163"/>
    </row>
    <row r="146" spans="1:12" ht="19.5" customHeight="1" x14ac:dyDescent="0.35">
      <c r="A146" s="125"/>
      <c r="C146" s="125"/>
      <c r="F146" s="40"/>
      <c r="J146" s="54"/>
      <c r="K146" s="56"/>
      <c r="L146" s="163"/>
    </row>
    <row r="147" spans="1:12" ht="19.5" customHeight="1" x14ac:dyDescent="0.35">
      <c r="A147" s="125"/>
      <c r="C147" s="125"/>
      <c r="F147" s="40"/>
      <c r="J147" s="54"/>
      <c r="K147" s="56"/>
      <c r="L147" s="163"/>
    </row>
    <row r="148" spans="1:12" ht="19.5" customHeight="1" x14ac:dyDescent="0.35">
      <c r="A148" s="125"/>
      <c r="C148" s="125"/>
      <c r="F148" s="40"/>
      <c r="J148" s="54"/>
      <c r="K148" s="56"/>
      <c r="L148" s="163"/>
    </row>
    <row r="149" spans="1:12" ht="19.5" customHeight="1" x14ac:dyDescent="0.35">
      <c r="A149" s="125"/>
      <c r="C149" s="125"/>
      <c r="F149" s="40"/>
      <c r="J149" s="54"/>
      <c r="K149" s="56"/>
      <c r="L149" s="163"/>
    </row>
    <row r="150" spans="1:12" ht="19.5" customHeight="1" x14ac:dyDescent="0.35">
      <c r="A150" s="125"/>
      <c r="C150" s="125"/>
      <c r="F150" s="40"/>
      <c r="J150" s="54"/>
      <c r="K150" s="56"/>
      <c r="L150" s="163"/>
    </row>
    <row r="151" spans="1:12" ht="19.5" customHeight="1" x14ac:dyDescent="0.35">
      <c r="A151" s="125"/>
      <c r="C151" s="125"/>
      <c r="F151" s="40"/>
      <c r="J151" s="54"/>
      <c r="K151" s="56"/>
      <c r="L151" s="163"/>
    </row>
    <row r="152" spans="1:12" ht="19.5" customHeight="1" x14ac:dyDescent="0.35">
      <c r="A152" s="125"/>
      <c r="C152" s="125"/>
      <c r="F152" s="40"/>
      <c r="J152" s="54"/>
      <c r="K152" s="56"/>
      <c r="L152" s="163"/>
    </row>
    <row r="153" spans="1:12" ht="19.5" customHeight="1" x14ac:dyDescent="0.35">
      <c r="A153" s="125"/>
      <c r="C153" s="125"/>
      <c r="F153" s="40"/>
      <c r="J153" s="54"/>
      <c r="K153" s="56"/>
      <c r="L153" s="163"/>
    </row>
    <row r="154" spans="1:12" ht="19.5" customHeight="1" x14ac:dyDescent="0.35">
      <c r="A154" s="125"/>
      <c r="C154" s="125"/>
      <c r="F154" s="40"/>
      <c r="J154" s="54"/>
      <c r="K154" s="56"/>
      <c r="L154" s="163"/>
    </row>
    <row r="155" spans="1:12" ht="19.5" customHeight="1" x14ac:dyDescent="0.35">
      <c r="A155" s="125"/>
      <c r="C155" s="125"/>
      <c r="F155" s="40"/>
      <c r="J155" s="54"/>
      <c r="K155" s="56"/>
      <c r="L155" s="163"/>
    </row>
    <row r="156" spans="1:12" ht="19.5" customHeight="1" x14ac:dyDescent="0.35">
      <c r="A156" s="125"/>
      <c r="C156" s="125"/>
      <c r="F156" s="40"/>
      <c r="J156" s="54"/>
      <c r="K156" s="56"/>
      <c r="L156" s="163"/>
    </row>
    <row r="157" spans="1:12" ht="19.5" customHeight="1" x14ac:dyDescent="0.35">
      <c r="A157" s="125"/>
      <c r="C157" s="125"/>
      <c r="F157" s="40"/>
      <c r="J157" s="54"/>
      <c r="K157" s="56"/>
      <c r="L157" s="163"/>
    </row>
    <row r="158" spans="1:12" ht="19.5" customHeight="1" x14ac:dyDescent="0.35">
      <c r="A158" s="125"/>
      <c r="C158" s="125"/>
      <c r="F158" s="40"/>
      <c r="J158" s="54"/>
      <c r="K158" s="56"/>
      <c r="L158" s="163"/>
    </row>
    <row r="159" spans="1:12" ht="19.5" customHeight="1" x14ac:dyDescent="0.35">
      <c r="A159" s="125"/>
      <c r="C159" s="125"/>
      <c r="F159" s="40"/>
      <c r="J159" s="54"/>
      <c r="K159" s="56"/>
      <c r="L159" s="163"/>
    </row>
    <row r="160" spans="1:12" ht="19.5" customHeight="1" x14ac:dyDescent="0.35">
      <c r="A160" s="125"/>
      <c r="C160" s="125"/>
      <c r="F160" s="40"/>
      <c r="J160" s="54"/>
      <c r="K160" s="56"/>
      <c r="L160" s="163"/>
    </row>
    <row r="161" spans="1:12" ht="19.5" customHeight="1" x14ac:dyDescent="0.35">
      <c r="A161" s="125"/>
      <c r="C161" s="125"/>
      <c r="F161" s="40"/>
      <c r="J161" s="54"/>
      <c r="K161" s="56"/>
      <c r="L161" s="163"/>
    </row>
    <row r="162" spans="1:12" ht="19.5" customHeight="1" x14ac:dyDescent="0.35">
      <c r="A162" s="125"/>
      <c r="C162" s="125"/>
      <c r="F162" s="40"/>
      <c r="J162" s="54"/>
      <c r="K162" s="56"/>
      <c r="L162" s="163"/>
    </row>
    <row r="163" spans="1:12" ht="19.5" customHeight="1" x14ac:dyDescent="0.35">
      <c r="A163" s="125"/>
      <c r="C163" s="125"/>
      <c r="F163" s="40"/>
      <c r="J163" s="54"/>
      <c r="K163" s="56"/>
      <c r="L163" s="163"/>
    </row>
    <row r="164" spans="1:12" ht="19.5" customHeight="1" x14ac:dyDescent="0.35">
      <c r="A164" s="125"/>
      <c r="C164" s="125"/>
      <c r="F164" s="40"/>
      <c r="J164" s="54"/>
      <c r="K164" s="56"/>
      <c r="L164" s="163"/>
    </row>
    <row r="165" spans="1:12" ht="19.5" customHeight="1" x14ac:dyDescent="0.35">
      <c r="A165" s="125"/>
      <c r="C165" s="125"/>
      <c r="F165" s="40"/>
      <c r="J165" s="54"/>
      <c r="K165" s="56"/>
      <c r="L165" s="163"/>
    </row>
    <row r="166" spans="1:12" ht="19.5" customHeight="1" x14ac:dyDescent="0.35">
      <c r="A166" s="125"/>
      <c r="C166" s="125"/>
      <c r="F166" s="40"/>
      <c r="J166" s="54"/>
      <c r="K166" s="56"/>
      <c r="L166" s="163"/>
    </row>
    <row r="167" spans="1:12" ht="19.5" customHeight="1" x14ac:dyDescent="0.35">
      <c r="A167" s="125"/>
      <c r="C167" s="125"/>
      <c r="F167" s="40"/>
      <c r="J167" s="54"/>
      <c r="K167" s="56"/>
      <c r="L167" s="163"/>
    </row>
    <row r="168" spans="1:12" ht="19.5" customHeight="1" x14ac:dyDescent="0.35">
      <c r="A168" s="125"/>
      <c r="C168" s="125"/>
      <c r="F168" s="40"/>
      <c r="J168" s="54"/>
      <c r="K168" s="56"/>
      <c r="L168" s="163"/>
    </row>
    <row r="169" spans="1:12" ht="19.5" customHeight="1" x14ac:dyDescent="0.35">
      <c r="A169" s="125"/>
      <c r="C169" s="125"/>
      <c r="F169" s="40"/>
      <c r="J169" s="54"/>
      <c r="K169" s="56"/>
      <c r="L169" s="163"/>
    </row>
    <row r="170" spans="1:12" ht="19.5" customHeight="1" x14ac:dyDescent="0.35">
      <c r="A170" s="125"/>
      <c r="C170" s="125"/>
      <c r="F170" s="40"/>
      <c r="J170" s="54"/>
      <c r="K170" s="56"/>
      <c r="L170" s="163"/>
    </row>
    <row r="171" spans="1:12" ht="19.5" customHeight="1" x14ac:dyDescent="0.35">
      <c r="A171" s="125"/>
      <c r="C171" s="125"/>
      <c r="F171" s="40"/>
      <c r="J171" s="54"/>
      <c r="K171" s="56"/>
      <c r="L171" s="163"/>
    </row>
    <row r="172" spans="1:12" ht="19.5" customHeight="1" x14ac:dyDescent="0.35">
      <c r="A172" s="125"/>
      <c r="C172" s="125"/>
      <c r="F172" s="40"/>
      <c r="J172" s="54"/>
      <c r="K172" s="56"/>
      <c r="L172" s="163"/>
    </row>
    <row r="173" spans="1:12" ht="19.5" customHeight="1" x14ac:dyDescent="0.35">
      <c r="A173" s="125"/>
      <c r="C173" s="125"/>
      <c r="F173" s="40"/>
      <c r="J173" s="54"/>
      <c r="K173" s="56"/>
      <c r="L173" s="163"/>
    </row>
    <row r="174" spans="1:12" ht="19.5" customHeight="1" x14ac:dyDescent="0.35">
      <c r="A174" s="125"/>
      <c r="C174" s="125"/>
      <c r="F174" s="40"/>
      <c r="J174" s="54"/>
      <c r="K174" s="56"/>
      <c r="L174" s="163"/>
    </row>
    <row r="175" spans="1:12" ht="19.5" customHeight="1" x14ac:dyDescent="0.35">
      <c r="A175" s="125"/>
      <c r="C175" s="125"/>
      <c r="F175" s="40"/>
      <c r="J175" s="54"/>
      <c r="K175" s="56"/>
      <c r="L175" s="163"/>
    </row>
    <row r="176" spans="1:12" ht="19.5" customHeight="1" x14ac:dyDescent="0.35">
      <c r="A176" s="125"/>
      <c r="C176" s="125"/>
      <c r="F176" s="40"/>
      <c r="J176" s="54"/>
      <c r="K176" s="56"/>
      <c r="L176" s="163"/>
    </row>
    <row r="177" spans="1:12" ht="19.5" customHeight="1" x14ac:dyDescent="0.35">
      <c r="A177" s="125"/>
      <c r="C177" s="125"/>
      <c r="F177" s="40"/>
      <c r="J177" s="54"/>
      <c r="K177" s="56"/>
      <c r="L177" s="163"/>
    </row>
    <row r="178" spans="1:12" ht="19.5" customHeight="1" x14ac:dyDescent="0.35">
      <c r="A178" s="125"/>
      <c r="F178" s="40"/>
      <c r="J178" s="54"/>
      <c r="K178" s="56"/>
      <c r="L178" s="163"/>
    </row>
    <row r="179" spans="1:12" ht="19.5" customHeight="1" x14ac:dyDescent="0.35">
      <c r="A179" s="125"/>
      <c r="F179" s="40"/>
      <c r="J179" s="54"/>
      <c r="K179" s="56"/>
      <c r="L179" s="163"/>
    </row>
    <row r="180" spans="1:12" ht="19.5" customHeight="1" x14ac:dyDescent="0.35">
      <c r="A180" s="125"/>
      <c r="F180" s="40"/>
      <c r="J180" s="54"/>
      <c r="K180" s="56"/>
      <c r="L180" s="163"/>
    </row>
    <row r="181" spans="1:12" ht="19.5" customHeight="1" x14ac:dyDescent="0.35">
      <c r="A181" s="125"/>
      <c r="F181" s="40"/>
      <c r="J181" s="54"/>
      <c r="K181" s="56"/>
      <c r="L181" s="163"/>
    </row>
    <row r="182" spans="1:12" ht="19.5" customHeight="1" x14ac:dyDescent="0.35">
      <c r="A182" s="125"/>
      <c r="F182" s="40"/>
      <c r="J182" s="54"/>
      <c r="K182" s="56"/>
      <c r="L182" s="163"/>
    </row>
    <row r="183" spans="1:12" ht="19.5" customHeight="1" x14ac:dyDescent="0.35">
      <c r="A183" s="125"/>
      <c r="F183" s="40"/>
      <c r="J183" s="54"/>
      <c r="K183" s="56"/>
      <c r="L183" s="163"/>
    </row>
    <row r="184" spans="1:12" ht="19.5" customHeight="1" x14ac:dyDescent="0.35">
      <c r="A184" s="125"/>
      <c r="F184" s="40"/>
      <c r="J184" s="54"/>
      <c r="K184" s="56"/>
      <c r="L184" s="163"/>
    </row>
    <row r="185" spans="1:12" ht="19.5" customHeight="1" x14ac:dyDescent="0.35">
      <c r="A185" s="125"/>
      <c r="F185" s="40"/>
      <c r="J185" s="54"/>
      <c r="K185" s="56"/>
      <c r="L185" s="163"/>
    </row>
    <row r="186" spans="1:12" ht="19.5" customHeight="1" x14ac:dyDescent="0.35">
      <c r="A186" s="125"/>
      <c r="F186" s="40"/>
      <c r="J186" s="54"/>
      <c r="K186" s="56"/>
      <c r="L186" s="163"/>
    </row>
    <row r="187" spans="1:12" ht="19.5" customHeight="1" x14ac:dyDescent="0.35">
      <c r="A187" s="125"/>
      <c r="F187" s="40"/>
      <c r="J187" s="54"/>
      <c r="K187" s="56"/>
      <c r="L187" s="163"/>
    </row>
    <row r="188" spans="1:12" ht="19.5" customHeight="1" x14ac:dyDescent="0.35">
      <c r="A188" s="125"/>
      <c r="F188" s="40"/>
      <c r="J188" s="54"/>
      <c r="K188" s="56"/>
      <c r="L188" s="163"/>
    </row>
    <row r="189" spans="1:12" ht="19.5" customHeight="1" x14ac:dyDescent="0.35">
      <c r="A189" s="125"/>
      <c r="F189" s="40"/>
      <c r="J189" s="54"/>
      <c r="K189" s="56"/>
      <c r="L189" s="163"/>
    </row>
    <row r="190" spans="1:12" ht="19.5" customHeight="1" x14ac:dyDescent="0.35">
      <c r="A190" s="125"/>
      <c r="F190" s="40"/>
      <c r="J190" s="65"/>
      <c r="K190" s="56"/>
      <c r="L190" s="163"/>
    </row>
    <row r="191" spans="1:12" ht="19.5" customHeight="1" x14ac:dyDescent="0.35">
      <c r="A191" s="125"/>
      <c r="F191" s="40"/>
      <c r="J191" s="65"/>
      <c r="K191" s="56"/>
      <c r="L191" s="163"/>
    </row>
    <row r="192" spans="1:12" ht="19.5" customHeight="1" x14ac:dyDescent="0.35">
      <c r="A192" s="125"/>
      <c r="F192" s="40"/>
      <c r="J192" s="65"/>
      <c r="K192" s="56"/>
      <c r="L192" s="163"/>
    </row>
    <row r="193" spans="1:12" ht="19.5" customHeight="1" x14ac:dyDescent="0.35">
      <c r="A193" s="125"/>
      <c r="F193" s="40"/>
      <c r="J193" s="65"/>
      <c r="K193" s="56"/>
      <c r="L193" s="163"/>
    </row>
    <row r="194" spans="1:12" ht="19.5" customHeight="1" x14ac:dyDescent="0.35">
      <c r="A194" s="125"/>
      <c r="F194" s="40"/>
      <c r="J194" s="65"/>
      <c r="K194" s="56"/>
      <c r="L194" s="163"/>
    </row>
    <row r="195" spans="1:12" ht="19.5" customHeight="1" x14ac:dyDescent="0.35">
      <c r="A195" s="125"/>
      <c r="F195" s="40"/>
      <c r="J195" s="65"/>
      <c r="K195" s="56"/>
      <c r="L195" s="163"/>
    </row>
    <row r="196" spans="1:12" ht="19.5" customHeight="1" x14ac:dyDescent="0.35">
      <c r="A196" s="125"/>
      <c r="F196" s="40"/>
      <c r="J196" s="65"/>
      <c r="K196" s="56"/>
      <c r="L196" s="163"/>
    </row>
    <row r="197" spans="1:12" ht="19.5" customHeight="1" x14ac:dyDescent="0.35">
      <c r="A197" s="125"/>
      <c r="F197" s="40"/>
      <c r="J197" s="65"/>
      <c r="K197" s="56"/>
      <c r="L197" s="163"/>
    </row>
    <row r="198" spans="1:12" ht="19.5" customHeight="1" x14ac:dyDescent="0.35">
      <c r="A198" s="125"/>
      <c r="F198" s="40"/>
      <c r="J198" s="65"/>
      <c r="K198" s="56"/>
      <c r="L198" s="163"/>
    </row>
    <row r="199" spans="1:12" ht="19.5" customHeight="1" x14ac:dyDescent="0.35">
      <c r="A199" s="125"/>
      <c r="F199" s="40"/>
      <c r="J199" s="65"/>
      <c r="K199" s="56"/>
      <c r="L199" s="163"/>
    </row>
    <row r="200" spans="1:12" ht="19.5" customHeight="1" x14ac:dyDescent="0.35">
      <c r="A200" s="125"/>
      <c r="F200" s="40"/>
      <c r="J200" s="65"/>
      <c r="K200" s="56"/>
      <c r="L200" s="163"/>
    </row>
    <row r="201" spans="1:12" ht="19.5" customHeight="1" x14ac:dyDescent="0.35">
      <c r="A201" s="125"/>
      <c r="F201" s="40"/>
      <c r="J201" s="65"/>
      <c r="K201" s="56"/>
      <c r="L201" s="163"/>
    </row>
    <row r="202" spans="1:12" ht="19.5" customHeight="1" x14ac:dyDescent="0.35">
      <c r="A202" s="125"/>
      <c r="F202" s="40"/>
      <c r="J202" s="65"/>
      <c r="K202" s="56"/>
      <c r="L202" s="163"/>
    </row>
    <row r="203" spans="1:12" ht="19.5" customHeight="1" x14ac:dyDescent="0.35">
      <c r="A203" s="125"/>
      <c r="F203" s="40"/>
      <c r="J203" s="65"/>
      <c r="K203" s="56"/>
      <c r="L203" s="163"/>
    </row>
    <row r="204" spans="1:12" ht="19.5" customHeight="1" x14ac:dyDescent="0.35">
      <c r="A204" s="125"/>
      <c r="F204" s="40"/>
      <c r="J204" s="65"/>
      <c r="K204" s="56"/>
      <c r="L204" s="163"/>
    </row>
    <row r="205" spans="1:12" ht="19.5" customHeight="1" x14ac:dyDescent="0.35">
      <c r="A205" s="125"/>
      <c r="F205" s="40"/>
      <c r="J205" s="65"/>
      <c r="K205" s="56"/>
      <c r="L205" s="163"/>
    </row>
    <row r="206" spans="1:12" ht="19.5" customHeight="1" x14ac:dyDescent="0.35">
      <c r="A206" s="125"/>
      <c r="F206" s="40"/>
      <c r="J206" s="65"/>
      <c r="K206" s="56"/>
      <c r="L206" s="163"/>
    </row>
    <row r="207" spans="1:12" ht="19.5" customHeight="1" x14ac:dyDescent="0.35">
      <c r="A207" s="125"/>
      <c r="F207" s="40"/>
      <c r="J207" s="65"/>
      <c r="K207" s="56"/>
      <c r="L207" s="163"/>
    </row>
    <row r="208" spans="1:12" ht="19.5" customHeight="1" x14ac:dyDescent="0.35">
      <c r="A208" s="125"/>
      <c r="F208" s="40"/>
      <c r="J208" s="65"/>
      <c r="K208" s="56"/>
      <c r="L208" s="163"/>
    </row>
    <row r="209" spans="1:13" ht="19.5" customHeight="1" x14ac:dyDescent="0.35">
      <c r="A209" s="125"/>
      <c r="F209" s="40"/>
      <c r="J209" s="65"/>
      <c r="K209" s="56"/>
      <c r="L209" s="163"/>
    </row>
    <row r="210" spans="1:13" ht="19.5" customHeight="1" x14ac:dyDescent="0.35">
      <c r="A210" s="125"/>
      <c r="F210" s="40"/>
      <c r="J210" s="65"/>
      <c r="K210" s="56"/>
      <c r="L210" s="163"/>
    </row>
    <row r="211" spans="1:13" ht="19.5" customHeight="1" x14ac:dyDescent="0.35">
      <c r="A211" s="125"/>
      <c r="F211" s="40"/>
      <c r="J211" s="65"/>
      <c r="K211" s="56"/>
      <c r="L211" s="163"/>
    </row>
    <row r="212" spans="1:13" ht="19.5" customHeight="1" x14ac:dyDescent="0.35">
      <c r="A212" s="125"/>
      <c r="F212" s="40"/>
      <c r="J212" s="65"/>
      <c r="K212" s="56"/>
      <c r="L212" s="163"/>
    </row>
    <row r="213" spans="1:13" ht="19.5" customHeight="1" x14ac:dyDescent="0.35">
      <c r="A213" s="125"/>
      <c r="B213" s="54"/>
      <c r="C213" s="125"/>
      <c r="D213" s="53"/>
      <c r="E213" s="126"/>
      <c r="F213" s="126"/>
      <c r="G213" s="125"/>
      <c r="H213" s="53"/>
      <c r="I213" s="53"/>
      <c r="J213" s="65"/>
      <c r="K213" s="56"/>
      <c r="L213" s="164"/>
      <c r="M213" s="125"/>
    </row>
    <row r="214" spans="1:13" ht="19.5" customHeight="1" x14ac:dyDescent="0.35">
      <c r="A214" s="125"/>
      <c r="B214" s="54"/>
      <c r="C214" s="125"/>
      <c r="D214" s="53"/>
      <c r="E214" s="126"/>
      <c r="F214" s="126"/>
      <c r="G214" s="125"/>
      <c r="H214" s="53"/>
      <c r="I214" s="53"/>
      <c r="J214" s="65"/>
      <c r="K214" s="56"/>
      <c r="L214" s="164"/>
      <c r="M214" s="125"/>
    </row>
    <row r="215" spans="1:13" ht="19.5" customHeight="1" x14ac:dyDescent="0.35">
      <c r="A215" s="125"/>
      <c r="B215" s="54"/>
      <c r="C215" s="125"/>
      <c r="D215" s="53"/>
      <c r="E215" s="126"/>
      <c r="F215" s="126"/>
      <c r="G215" s="125"/>
      <c r="H215" s="53"/>
      <c r="I215" s="53"/>
      <c r="J215" s="65"/>
      <c r="K215" s="56"/>
      <c r="L215" s="164"/>
      <c r="M215" s="125"/>
    </row>
    <row r="216" spans="1:13" ht="19.5" customHeight="1" x14ac:dyDescent="0.35">
      <c r="A216" s="125"/>
      <c r="B216" s="54"/>
      <c r="C216" s="125"/>
      <c r="D216" s="53"/>
      <c r="E216" s="126"/>
      <c r="F216" s="126"/>
      <c r="G216" s="125"/>
      <c r="H216" s="53"/>
      <c r="I216" s="53"/>
      <c r="J216" s="65"/>
      <c r="K216" s="56"/>
      <c r="L216" s="164"/>
      <c r="M216" s="125"/>
    </row>
    <row r="217" spans="1:13" ht="19.5" customHeight="1" x14ac:dyDescent="0.35">
      <c r="A217" s="125"/>
      <c r="B217" s="54"/>
      <c r="C217" s="125"/>
      <c r="D217" s="53"/>
      <c r="E217" s="126"/>
      <c r="F217" s="126"/>
      <c r="G217" s="125"/>
      <c r="H217" s="53"/>
      <c r="I217" s="53"/>
      <c r="J217" s="65"/>
      <c r="K217" s="56"/>
      <c r="L217" s="164"/>
      <c r="M217" s="125"/>
    </row>
    <row r="218" spans="1:13" ht="19.5" customHeight="1" x14ac:dyDescent="0.35">
      <c r="A218" s="125"/>
      <c r="B218" s="54"/>
      <c r="C218" s="125"/>
      <c r="D218" s="53"/>
      <c r="E218" s="126"/>
      <c r="F218" s="126"/>
      <c r="G218" s="125"/>
      <c r="H218" s="53"/>
      <c r="I218" s="53"/>
      <c r="J218" s="65"/>
      <c r="K218" s="56"/>
      <c r="L218" s="164"/>
      <c r="M218" s="125"/>
    </row>
    <row r="219" spans="1:13" ht="19.5" customHeight="1" x14ac:dyDescent="0.35">
      <c r="A219" s="125"/>
      <c r="B219" s="54"/>
      <c r="C219" s="125"/>
      <c r="D219" s="53"/>
      <c r="E219" s="126"/>
      <c r="F219" s="126"/>
      <c r="G219" s="125"/>
      <c r="H219" s="53"/>
      <c r="I219" s="53"/>
      <c r="J219" s="65"/>
      <c r="K219" s="56"/>
      <c r="L219" s="164"/>
      <c r="M219" s="125"/>
    </row>
    <row r="220" spans="1:13" ht="19.5" customHeight="1" x14ac:dyDescent="0.35">
      <c r="A220" s="125"/>
      <c r="B220" s="54"/>
      <c r="C220" s="125"/>
      <c r="D220" s="53"/>
      <c r="E220" s="126"/>
      <c r="F220" s="126"/>
      <c r="G220" s="125"/>
      <c r="H220" s="53"/>
      <c r="I220" s="53"/>
      <c r="J220" s="65"/>
      <c r="K220" s="56"/>
      <c r="L220" s="164"/>
      <c r="M220" s="125"/>
    </row>
    <row r="221" spans="1:13" ht="19.5" customHeight="1" x14ac:dyDescent="0.35">
      <c r="A221" s="125"/>
      <c r="B221" s="54"/>
      <c r="C221" s="125"/>
      <c r="D221" s="53"/>
      <c r="E221" s="126"/>
      <c r="F221" s="126"/>
      <c r="G221" s="125"/>
      <c r="H221" s="53"/>
      <c r="I221" s="53"/>
      <c r="J221" s="65"/>
      <c r="K221" s="56"/>
      <c r="L221" s="164"/>
      <c r="M221" s="125"/>
    </row>
    <row r="222" spans="1:13" ht="19.5" customHeight="1" x14ac:dyDescent="0.35">
      <c r="A222" s="125"/>
      <c r="B222" s="54"/>
      <c r="C222" s="125"/>
      <c r="D222" s="53"/>
      <c r="E222" s="126"/>
      <c r="F222" s="126"/>
      <c r="G222" s="125"/>
      <c r="H222" s="53"/>
      <c r="I222" s="53"/>
      <c r="J222" s="65"/>
      <c r="K222" s="56"/>
      <c r="L222" s="164"/>
      <c r="M222" s="125"/>
    </row>
    <row r="223" spans="1:13" ht="19.5" customHeight="1" x14ac:dyDescent="0.35">
      <c r="A223" s="125"/>
      <c r="B223" s="54"/>
      <c r="C223" s="125"/>
      <c r="D223" s="53"/>
      <c r="E223" s="126"/>
      <c r="F223" s="126"/>
      <c r="G223" s="125"/>
      <c r="H223" s="53"/>
      <c r="I223" s="53"/>
      <c r="J223" s="65"/>
      <c r="K223" s="56"/>
      <c r="L223" s="164"/>
      <c r="M223" s="125"/>
    </row>
    <row r="224" spans="1:13" ht="19.5" customHeight="1" x14ac:dyDescent="0.35">
      <c r="A224" s="125"/>
      <c r="B224" s="54"/>
      <c r="C224" s="125"/>
      <c r="D224" s="53"/>
      <c r="E224" s="126"/>
      <c r="F224" s="126"/>
      <c r="G224" s="125"/>
      <c r="H224" s="53"/>
      <c r="I224" s="53"/>
      <c r="J224" s="65"/>
      <c r="K224" s="56"/>
      <c r="L224" s="164"/>
      <c r="M224" s="125"/>
    </row>
    <row r="225" spans="1:13" ht="19.5" customHeight="1" x14ac:dyDescent="0.35">
      <c r="A225" s="125"/>
      <c r="B225" s="54"/>
      <c r="C225" s="125"/>
      <c r="D225" s="53"/>
      <c r="E225" s="126"/>
      <c r="F225" s="126"/>
      <c r="G225" s="125"/>
      <c r="H225" s="53"/>
      <c r="I225" s="53"/>
      <c r="J225" s="65"/>
      <c r="K225" s="56"/>
      <c r="L225" s="164"/>
      <c r="M225" s="125"/>
    </row>
    <row r="226" spans="1:13" ht="19.5" customHeight="1" x14ac:dyDescent="0.35">
      <c r="A226" s="125"/>
      <c r="B226" s="54"/>
      <c r="C226" s="125"/>
      <c r="D226" s="53"/>
      <c r="E226" s="126"/>
      <c r="F226" s="126"/>
      <c r="G226" s="125"/>
      <c r="H226" s="53"/>
      <c r="I226" s="53"/>
      <c r="J226" s="65"/>
      <c r="K226" s="56"/>
      <c r="L226" s="164"/>
      <c r="M226" s="125"/>
    </row>
    <row r="227" spans="1:13" ht="19.5" customHeight="1" x14ac:dyDescent="0.35">
      <c r="A227" s="125"/>
      <c r="B227" s="54"/>
      <c r="C227" s="125"/>
      <c r="D227" s="53"/>
      <c r="E227" s="126"/>
      <c r="F227" s="126"/>
      <c r="G227" s="125"/>
      <c r="H227" s="53"/>
      <c r="I227" s="53"/>
      <c r="J227" s="65"/>
      <c r="K227" s="56"/>
      <c r="L227" s="164"/>
      <c r="M227" s="125"/>
    </row>
    <row r="228" spans="1:13" ht="19.5" customHeight="1" x14ac:dyDescent="0.35">
      <c r="A228" s="125"/>
      <c r="B228" s="54"/>
      <c r="C228" s="125"/>
      <c r="D228" s="53"/>
      <c r="E228" s="126"/>
      <c r="F228" s="126"/>
      <c r="G228" s="125"/>
      <c r="H228" s="53"/>
      <c r="I228" s="53"/>
      <c r="J228" s="65"/>
      <c r="K228" s="56"/>
      <c r="L228" s="164"/>
      <c r="M228" s="125"/>
    </row>
    <row r="229" spans="1:13" ht="19.5" customHeight="1" x14ac:dyDescent="0.35">
      <c r="A229" s="125"/>
      <c r="B229" s="54"/>
      <c r="C229" s="125"/>
      <c r="D229" s="53"/>
      <c r="E229" s="126"/>
      <c r="F229" s="126"/>
      <c r="G229" s="125"/>
      <c r="H229" s="53"/>
      <c r="I229" s="53"/>
      <c r="J229" s="65"/>
      <c r="K229" s="56"/>
      <c r="L229" s="164"/>
      <c r="M229" s="125"/>
    </row>
    <row r="230" spans="1:13" ht="19.5" customHeight="1" x14ac:dyDescent="0.35">
      <c r="A230" s="125"/>
      <c r="B230" s="54"/>
      <c r="C230" s="125"/>
      <c r="D230" s="53"/>
      <c r="E230" s="126"/>
      <c r="F230" s="126"/>
      <c r="G230" s="125"/>
      <c r="H230" s="53"/>
      <c r="I230" s="53"/>
      <c r="J230" s="65"/>
      <c r="K230" s="56"/>
      <c r="L230" s="164"/>
      <c r="M230" s="125"/>
    </row>
    <row r="231" spans="1:13" ht="19.5" customHeight="1" x14ac:dyDescent="0.35">
      <c r="A231" s="125"/>
      <c r="B231" s="54"/>
      <c r="C231" s="125"/>
      <c r="D231" s="53"/>
      <c r="E231" s="126"/>
      <c r="F231" s="126"/>
      <c r="G231" s="125"/>
      <c r="H231" s="53"/>
      <c r="I231" s="53"/>
      <c r="J231" s="65"/>
      <c r="K231" s="56"/>
      <c r="L231" s="164"/>
      <c r="M231" s="125"/>
    </row>
    <row r="232" spans="1:13" ht="19.5" customHeight="1" x14ac:dyDescent="0.35">
      <c r="A232" s="125"/>
      <c r="B232" s="54"/>
      <c r="C232" s="125"/>
      <c r="D232" s="53"/>
      <c r="E232" s="126"/>
      <c r="F232" s="126"/>
      <c r="G232" s="125"/>
      <c r="H232" s="53"/>
      <c r="I232" s="53"/>
      <c r="J232" s="65"/>
      <c r="K232" s="56"/>
      <c r="L232" s="164"/>
      <c r="M232" s="125"/>
    </row>
    <row r="233" spans="1:13" ht="19.5" customHeight="1" x14ac:dyDescent="0.35">
      <c r="A233" s="125"/>
      <c r="B233" s="54"/>
      <c r="C233" s="125"/>
      <c r="D233" s="53"/>
      <c r="E233" s="126"/>
      <c r="F233" s="126"/>
      <c r="G233" s="125"/>
      <c r="H233" s="53"/>
      <c r="I233" s="53"/>
      <c r="J233" s="65"/>
      <c r="K233" s="56"/>
      <c r="L233" s="164"/>
      <c r="M233" s="125"/>
    </row>
    <row r="234" spans="1:13" ht="19.5" customHeight="1" x14ac:dyDescent="0.35">
      <c r="A234" s="125"/>
      <c r="B234" s="54"/>
      <c r="C234" s="125"/>
      <c r="D234" s="53"/>
      <c r="E234" s="126"/>
      <c r="F234" s="126"/>
      <c r="G234" s="125"/>
      <c r="H234" s="53"/>
      <c r="I234" s="53"/>
      <c r="J234" s="65"/>
      <c r="K234" s="56"/>
      <c r="L234" s="164"/>
      <c r="M234" s="125"/>
    </row>
    <row r="235" spans="1:13" ht="19.5" customHeight="1" x14ac:dyDescent="0.35">
      <c r="A235" s="125"/>
      <c r="B235" s="54"/>
      <c r="C235" s="125"/>
      <c r="D235" s="53"/>
      <c r="E235" s="126"/>
      <c r="F235" s="126"/>
      <c r="G235" s="125"/>
      <c r="H235" s="53"/>
      <c r="I235" s="53"/>
      <c r="J235" s="65"/>
      <c r="K235" s="56"/>
      <c r="L235" s="164"/>
      <c r="M235" s="125"/>
    </row>
    <row r="236" spans="1:13" ht="19.5" customHeight="1" x14ac:dyDescent="0.35">
      <c r="A236" s="125"/>
      <c r="B236" s="54"/>
      <c r="C236" s="125"/>
      <c r="D236" s="53"/>
      <c r="E236" s="126"/>
      <c r="F236" s="126"/>
      <c r="G236" s="125"/>
      <c r="H236" s="53"/>
      <c r="I236" s="53"/>
      <c r="J236" s="65"/>
      <c r="K236" s="56"/>
      <c r="L236" s="164"/>
      <c r="M236" s="125"/>
    </row>
    <row r="237" spans="1:13" ht="19.5" customHeight="1" x14ac:dyDescent="0.35">
      <c r="A237" s="125"/>
      <c r="B237" s="54"/>
      <c r="C237" s="125"/>
      <c r="D237" s="53"/>
      <c r="E237" s="126"/>
      <c r="F237" s="126"/>
      <c r="G237" s="125"/>
      <c r="H237" s="53"/>
      <c r="I237" s="53"/>
      <c r="J237" s="65"/>
      <c r="K237" s="56"/>
      <c r="L237" s="164"/>
      <c r="M237" s="125"/>
    </row>
    <row r="238" spans="1:13" ht="19.5" customHeight="1" x14ac:dyDescent="0.35">
      <c r="A238" s="125"/>
      <c r="B238" s="54"/>
      <c r="C238" s="125"/>
      <c r="D238" s="53"/>
      <c r="E238" s="126"/>
      <c r="F238" s="126"/>
      <c r="G238" s="125"/>
      <c r="H238" s="53"/>
      <c r="I238" s="53"/>
      <c r="J238" s="65"/>
      <c r="K238" s="56"/>
      <c r="L238" s="164"/>
      <c r="M238" s="125"/>
    </row>
    <row r="239" spans="1:13" ht="19.5" customHeight="1" x14ac:dyDescent="0.35">
      <c r="A239" s="125"/>
      <c r="B239" s="54"/>
      <c r="C239" s="125"/>
      <c r="D239" s="53"/>
      <c r="E239" s="126"/>
      <c r="F239" s="126"/>
      <c r="G239" s="125"/>
      <c r="H239" s="53"/>
      <c r="I239" s="53"/>
      <c r="J239" s="65"/>
      <c r="K239" s="56"/>
      <c r="L239" s="164"/>
      <c r="M239" s="125"/>
    </row>
    <row r="240" spans="1:13" ht="19.5" customHeight="1" x14ac:dyDescent="0.35">
      <c r="A240" s="125"/>
      <c r="B240" s="54"/>
      <c r="C240" s="125"/>
      <c r="D240" s="53"/>
      <c r="E240" s="126"/>
      <c r="F240" s="126"/>
      <c r="G240" s="125"/>
      <c r="H240" s="53"/>
      <c r="I240" s="53"/>
      <c r="J240" s="65"/>
      <c r="K240" s="56"/>
      <c r="L240" s="164"/>
      <c r="M240" s="125"/>
    </row>
    <row r="241" spans="1:13" ht="19.5" customHeight="1" x14ac:dyDescent="0.35">
      <c r="A241" s="125"/>
      <c r="B241" s="54"/>
      <c r="C241" s="125"/>
      <c r="D241" s="53"/>
      <c r="E241" s="126"/>
      <c r="F241" s="126"/>
      <c r="G241" s="125"/>
      <c r="H241" s="53"/>
      <c r="I241" s="53"/>
      <c r="J241" s="65"/>
      <c r="K241" s="56"/>
      <c r="L241" s="164"/>
      <c r="M241" s="125"/>
    </row>
    <row r="242" spans="1:13" ht="19.5" customHeight="1" x14ac:dyDescent="0.35">
      <c r="A242" s="125"/>
      <c r="B242" s="54"/>
      <c r="C242" s="125"/>
      <c r="D242" s="53"/>
      <c r="E242" s="126"/>
      <c r="F242" s="126"/>
      <c r="G242" s="125"/>
      <c r="H242" s="53"/>
      <c r="I242" s="53"/>
      <c r="J242" s="65"/>
      <c r="K242" s="56"/>
      <c r="L242" s="164"/>
      <c r="M242" s="125"/>
    </row>
    <row r="243" spans="1:13" ht="19.5" customHeight="1" x14ac:dyDescent="0.35">
      <c r="A243" s="125"/>
      <c r="B243" s="54"/>
      <c r="C243" s="125"/>
      <c r="D243" s="53"/>
      <c r="E243" s="126"/>
      <c r="F243" s="126"/>
      <c r="G243" s="125"/>
      <c r="H243" s="53"/>
      <c r="I243" s="53"/>
      <c r="J243" s="65"/>
      <c r="K243" s="56"/>
      <c r="L243" s="164"/>
      <c r="M243" s="125"/>
    </row>
    <row r="244" spans="1:13" ht="19.5" customHeight="1" x14ac:dyDescent="0.35">
      <c r="A244" s="125"/>
      <c r="B244" s="54"/>
      <c r="C244" s="125"/>
      <c r="D244" s="53"/>
      <c r="E244" s="126"/>
      <c r="F244" s="126"/>
      <c r="G244" s="125"/>
      <c r="H244" s="53"/>
      <c r="I244" s="53"/>
      <c r="J244" s="65"/>
      <c r="K244" s="56"/>
      <c r="L244" s="164"/>
      <c r="M244" s="125"/>
    </row>
    <row r="245" spans="1:13" ht="19.5" customHeight="1" x14ac:dyDescent="0.35">
      <c r="A245" s="125"/>
      <c r="B245" s="54"/>
      <c r="C245" s="125"/>
      <c r="D245" s="53"/>
      <c r="E245" s="126"/>
      <c r="F245" s="126"/>
      <c r="G245" s="125"/>
      <c r="H245" s="53"/>
      <c r="I245" s="53"/>
      <c r="J245" s="65"/>
      <c r="K245" s="56"/>
      <c r="L245" s="164"/>
      <c r="M245" s="125"/>
    </row>
    <row r="246" spans="1:13" ht="19.5" customHeight="1" x14ac:dyDescent="0.35">
      <c r="A246" s="125"/>
      <c r="B246" s="54"/>
      <c r="C246" s="125"/>
      <c r="D246" s="53"/>
      <c r="E246" s="126"/>
      <c r="F246" s="126"/>
      <c r="G246" s="125"/>
      <c r="H246" s="53"/>
      <c r="I246" s="53"/>
      <c r="J246" s="65"/>
      <c r="K246" s="56"/>
      <c r="L246" s="164"/>
      <c r="M246" s="125"/>
    </row>
    <row r="247" spans="1:13" ht="19.5" customHeight="1" x14ac:dyDescent="0.35">
      <c r="A247" s="125"/>
      <c r="B247" s="54"/>
      <c r="C247" s="125"/>
      <c r="D247" s="53"/>
      <c r="E247" s="126"/>
      <c r="F247" s="126"/>
      <c r="G247" s="125"/>
      <c r="H247" s="53"/>
      <c r="I247" s="53"/>
      <c r="J247" s="65"/>
      <c r="K247" s="56"/>
      <c r="L247" s="164"/>
      <c r="M247" s="125"/>
    </row>
    <row r="248" spans="1:13" ht="19.5" customHeight="1" x14ac:dyDescent="0.35">
      <c r="A248" s="125"/>
      <c r="B248" s="54"/>
      <c r="C248" s="125"/>
      <c r="D248" s="53"/>
      <c r="E248" s="126"/>
      <c r="F248" s="126"/>
      <c r="G248" s="125"/>
      <c r="H248" s="53"/>
      <c r="I248" s="53"/>
      <c r="J248" s="65"/>
      <c r="K248" s="56"/>
      <c r="L248" s="164"/>
      <c r="M248" s="125"/>
    </row>
    <row r="249" spans="1:13" ht="19.5" customHeight="1" x14ac:dyDescent="0.35">
      <c r="A249" s="125"/>
      <c r="B249" s="54"/>
      <c r="C249" s="125"/>
      <c r="D249" s="53"/>
      <c r="E249" s="126"/>
      <c r="F249" s="126"/>
      <c r="G249" s="125"/>
      <c r="H249" s="53"/>
      <c r="I249" s="53"/>
      <c r="J249" s="65"/>
      <c r="K249" s="56"/>
      <c r="L249" s="164"/>
      <c r="M249" s="125"/>
    </row>
    <row r="250" spans="1:13" ht="19.5" customHeight="1" x14ac:dyDescent="0.35">
      <c r="A250" s="125"/>
      <c r="B250" s="54"/>
      <c r="C250" s="125"/>
      <c r="D250" s="53"/>
      <c r="E250" s="126"/>
      <c r="F250" s="126"/>
      <c r="G250" s="125"/>
      <c r="H250" s="53"/>
      <c r="I250" s="53"/>
      <c r="J250" s="65"/>
      <c r="K250" s="56"/>
      <c r="L250" s="164"/>
      <c r="M250" s="125"/>
    </row>
    <row r="251" spans="1:13" ht="19.5" customHeight="1" x14ac:dyDescent="0.35">
      <c r="A251" s="125"/>
      <c r="B251" s="54"/>
      <c r="C251" s="125"/>
      <c r="D251" s="53"/>
      <c r="E251" s="126"/>
      <c r="F251" s="126"/>
      <c r="G251" s="125"/>
      <c r="H251" s="53"/>
      <c r="I251" s="53"/>
      <c r="J251" s="65"/>
      <c r="K251" s="56"/>
      <c r="L251" s="164"/>
      <c r="M251" s="125"/>
    </row>
    <row r="252" spans="1:13" ht="19.5" customHeight="1" x14ac:dyDescent="0.35">
      <c r="A252" s="125"/>
      <c r="B252" s="54"/>
      <c r="C252" s="125"/>
      <c r="D252" s="53"/>
      <c r="E252" s="126"/>
      <c r="F252" s="126"/>
      <c r="G252" s="125"/>
      <c r="H252" s="53"/>
      <c r="I252" s="53"/>
      <c r="J252" s="65"/>
      <c r="K252" s="56"/>
      <c r="L252" s="164"/>
      <c r="M252" s="125"/>
    </row>
    <row r="253" spans="1:13" ht="19.5" customHeight="1" x14ac:dyDescent="0.35">
      <c r="A253" s="125"/>
      <c r="B253" s="54"/>
      <c r="C253" s="125"/>
      <c r="D253" s="53"/>
      <c r="E253" s="126"/>
      <c r="F253" s="126"/>
      <c r="G253" s="125"/>
      <c r="H253" s="53"/>
      <c r="I253" s="53"/>
      <c r="J253" s="65"/>
      <c r="K253" s="56"/>
      <c r="L253" s="164"/>
      <c r="M253" s="125"/>
    </row>
    <row r="254" spans="1:13" ht="19.5" customHeight="1" x14ac:dyDescent="0.35">
      <c r="A254" s="125"/>
      <c r="B254" s="54"/>
      <c r="C254" s="125"/>
      <c r="D254" s="53"/>
      <c r="E254" s="126"/>
      <c r="F254" s="126"/>
      <c r="G254" s="125"/>
      <c r="H254" s="53"/>
      <c r="I254" s="53"/>
      <c r="J254" s="65"/>
      <c r="K254" s="56"/>
      <c r="L254" s="164"/>
      <c r="M254" s="125"/>
    </row>
    <row r="255" spans="1:13" ht="19.5" customHeight="1" x14ac:dyDescent="0.35">
      <c r="A255" s="125"/>
      <c r="B255" s="54"/>
      <c r="C255" s="125"/>
      <c r="D255" s="53"/>
      <c r="E255" s="126"/>
      <c r="F255" s="126"/>
      <c r="G255" s="125"/>
      <c r="H255" s="53"/>
      <c r="I255" s="53"/>
      <c r="J255" s="65"/>
      <c r="K255" s="56"/>
      <c r="L255" s="164"/>
      <c r="M255" s="125"/>
    </row>
    <row r="256" spans="1:13" ht="19.5" customHeight="1" x14ac:dyDescent="0.35">
      <c r="A256" s="125"/>
      <c r="B256" s="54"/>
      <c r="C256" s="125"/>
      <c r="D256" s="53"/>
      <c r="E256" s="126"/>
      <c r="F256" s="126"/>
      <c r="G256" s="125"/>
      <c r="H256" s="53"/>
      <c r="I256" s="53"/>
      <c r="J256" s="65"/>
      <c r="K256" s="56"/>
      <c r="L256" s="164"/>
      <c r="M256" s="125"/>
    </row>
    <row r="257" spans="1:13" ht="19.5" customHeight="1" x14ac:dyDescent="0.35">
      <c r="A257" s="125"/>
      <c r="B257" s="54"/>
      <c r="C257" s="125"/>
      <c r="D257" s="53"/>
      <c r="E257" s="126"/>
      <c r="F257" s="126"/>
      <c r="G257" s="125"/>
      <c r="H257" s="53"/>
      <c r="I257" s="53"/>
      <c r="J257" s="65"/>
      <c r="K257" s="56"/>
      <c r="L257" s="164"/>
      <c r="M257" s="125"/>
    </row>
    <row r="258" spans="1:13" ht="19.5" customHeight="1" x14ac:dyDescent="0.35">
      <c r="A258" s="125"/>
      <c r="B258" s="54"/>
      <c r="C258" s="125"/>
      <c r="D258" s="53"/>
      <c r="E258" s="126"/>
      <c r="F258" s="126"/>
      <c r="G258" s="125"/>
      <c r="H258" s="53"/>
      <c r="I258" s="53"/>
      <c r="J258" s="65"/>
      <c r="K258" s="56"/>
      <c r="L258" s="164"/>
      <c r="M258" s="125"/>
    </row>
    <row r="259" spans="1:13" ht="19.5" customHeight="1" x14ac:dyDescent="0.35">
      <c r="A259" s="125"/>
      <c r="B259" s="54"/>
      <c r="C259" s="125"/>
      <c r="D259" s="53"/>
      <c r="E259" s="126"/>
      <c r="F259" s="126"/>
      <c r="G259" s="125"/>
      <c r="H259" s="53"/>
      <c r="I259" s="53"/>
      <c r="J259" s="65"/>
      <c r="K259" s="56"/>
      <c r="L259" s="164"/>
      <c r="M259" s="125"/>
    </row>
    <row r="260" spans="1:13" ht="19.5" customHeight="1" x14ac:dyDescent="0.35">
      <c r="A260" s="125"/>
      <c r="B260" s="54"/>
      <c r="C260" s="125"/>
      <c r="D260" s="53"/>
      <c r="E260" s="126"/>
      <c r="F260" s="126"/>
      <c r="G260" s="125"/>
      <c r="H260" s="53"/>
      <c r="I260" s="53"/>
      <c r="J260" s="65"/>
      <c r="K260" s="56"/>
      <c r="L260" s="164"/>
      <c r="M260" s="125"/>
    </row>
    <row r="261" spans="1:13" ht="19.5" customHeight="1" x14ac:dyDescent="0.35">
      <c r="A261" s="125"/>
      <c r="B261" s="54"/>
      <c r="C261" s="125"/>
      <c r="D261" s="53"/>
      <c r="E261" s="126"/>
      <c r="F261" s="126"/>
      <c r="G261" s="125"/>
      <c r="H261" s="53"/>
      <c r="I261" s="53"/>
      <c r="J261" s="65"/>
      <c r="K261" s="56"/>
      <c r="L261" s="164"/>
      <c r="M261" s="125"/>
    </row>
    <row r="262" spans="1:13" ht="19.5" customHeight="1" x14ac:dyDescent="0.35">
      <c r="A262" s="125"/>
      <c r="B262" s="54"/>
      <c r="C262" s="125"/>
      <c r="D262" s="53"/>
      <c r="E262" s="126"/>
      <c r="F262" s="126"/>
      <c r="G262" s="125"/>
      <c r="H262" s="53"/>
      <c r="I262" s="53"/>
      <c r="J262" s="65"/>
      <c r="K262" s="56"/>
      <c r="L262" s="164"/>
      <c r="M262" s="125"/>
    </row>
    <row r="263" spans="1:13" ht="19.5" customHeight="1" x14ac:dyDescent="0.35">
      <c r="A263" s="125"/>
      <c r="B263" s="54"/>
      <c r="C263" s="125"/>
      <c r="D263" s="53"/>
      <c r="E263" s="126"/>
      <c r="F263" s="126"/>
      <c r="G263" s="125"/>
      <c r="H263" s="53"/>
      <c r="I263" s="53"/>
      <c r="J263" s="65"/>
      <c r="K263" s="56"/>
      <c r="L263" s="164"/>
      <c r="M263" s="125"/>
    </row>
    <row r="264" spans="1:13" ht="19.5" customHeight="1" x14ac:dyDescent="0.35">
      <c r="A264" s="125"/>
      <c r="B264" s="54"/>
      <c r="C264" s="125"/>
      <c r="D264" s="53"/>
      <c r="E264" s="126"/>
      <c r="F264" s="126"/>
      <c r="G264" s="125"/>
      <c r="H264" s="53"/>
      <c r="I264" s="53"/>
      <c r="J264" s="65"/>
      <c r="K264" s="56"/>
      <c r="L264" s="164"/>
      <c r="M264" s="125"/>
    </row>
    <row r="265" spans="1:13" ht="19.5" customHeight="1" x14ac:dyDescent="0.35">
      <c r="A265" s="125"/>
      <c r="B265" s="54"/>
      <c r="C265" s="125"/>
      <c r="D265" s="53"/>
      <c r="E265" s="126"/>
      <c r="F265" s="126"/>
      <c r="G265" s="125"/>
      <c r="H265" s="53"/>
      <c r="I265" s="53"/>
      <c r="J265" s="65"/>
      <c r="K265" s="56"/>
      <c r="L265" s="164"/>
      <c r="M265" s="125"/>
    </row>
    <row r="266" spans="1:13" ht="19.5" customHeight="1" x14ac:dyDescent="0.35">
      <c r="A266" s="125"/>
      <c r="B266" s="54"/>
      <c r="C266" s="125"/>
      <c r="D266" s="53"/>
      <c r="E266" s="126"/>
      <c r="F266" s="126"/>
      <c r="G266" s="125"/>
      <c r="H266" s="53"/>
      <c r="I266" s="53"/>
      <c r="J266" s="65"/>
      <c r="K266" s="56"/>
      <c r="L266" s="164"/>
      <c r="M266" s="125"/>
    </row>
    <row r="267" spans="1:13" ht="19.5" customHeight="1" x14ac:dyDescent="0.35">
      <c r="A267" s="125"/>
      <c r="B267" s="54"/>
      <c r="C267" s="125"/>
      <c r="D267" s="53"/>
      <c r="E267" s="126"/>
      <c r="F267" s="126"/>
      <c r="G267" s="125"/>
      <c r="H267" s="53"/>
      <c r="I267" s="53"/>
      <c r="J267" s="65"/>
      <c r="K267" s="56"/>
      <c r="L267" s="164"/>
      <c r="M267" s="125"/>
    </row>
    <row r="268" spans="1:13" ht="19.5" customHeight="1" x14ac:dyDescent="0.35">
      <c r="A268" s="125"/>
      <c r="B268" s="54"/>
      <c r="C268" s="125"/>
      <c r="D268" s="53"/>
      <c r="E268" s="126"/>
      <c r="F268" s="126"/>
      <c r="G268" s="125"/>
      <c r="H268" s="53"/>
      <c r="I268" s="53"/>
      <c r="J268" s="65"/>
      <c r="K268" s="56"/>
      <c r="L268" s="164"/>
      <c r="M268" s="125"/>
    </row>
    <row r="269" spans="1:13" ht="19.5" customHeight="1" x14ac:dyDescent="0.35">
      <c r="A269" s="125"/>
      <c r="B269" s="54"/>
      <c r="C269" s="125"/>
      <c r="D269" s="53"/>
      <c r="E269" s="126"/>
      <c r="F269" s="126"/>
      <c r="G269" s="125"/>
      <c r="H269" s="53"/>
      <c r="I269" s="53"/>
      <c r="J269" s="65"/>
      <c r="K269" s="56"/>
      <c r="L269" s="164"/>
      <c r="M269" s="125"/>
    </row>
    <row r="270" spans="1:13" ht="19.5" customHeight="1" x14ac:dyDescent="0.35">
      <c r="A270" s="125"/>
      <c r="B270" s="54"/>
      <c r="C270" s="125"/>
      <c r="D270" s="53"/>
      <c r="E270" s="126"/>
      <c r="F270" s="126"/>
      <c r="G270" s="125"/>
      <c r="H270" s="53"/>
      <c r="I270" s="53"/>
      <c r="J270" s="65"/>
      <c r="K270" s="56"/>
      <c r="L270" s="164"/>
      <c r="M270" s="125"/>
    </row>
    <row r="271" spans="1:13" ht="19.5" customHeight="1" x14ac:dyDescent="0.35">
      <c r="A271" s="125"/>
      <c r="B271" s="54"/>
      <c r="C271" s="125"/>
      <c r="D271" s="53"/>
      <c r="E271" s="126"/>
      <c r="F271" s="126"/>
      <c r="G271" s="125"/>
      <c r="H271" s="53"/>
      <c r="I271" s="53"/>
      <c r="J271" s="65"/>
      <c r="K271" s="56"/>
      <c r="L271" s="164"/>
      <c r="M271" s="125"/>
    </row>
    <row r="272" spans="1:13" ht="19.5" customHeight="1" x14ac:dyDescent="0.35">
      <c r="A272" s="125"/>
      <c r="B272" s="54"/>
      <c r="C272" s="125"/>
      <c r="D272" s="53"/>
      <c r="E272" s="126"/>
      <c r="F272" s="126"/>
      <c r="G272" s="125"/>
      <c r="H272" s="53"/>
      <c r="I272" s="53"/>
      <c r="J272" s="65"/>
      <c r="K272" s="56"/>
      <c r="L272" s="164"/>
      <c r="M272" s="125"/>
    </row>
    <row r="273" spans="6:13" ht="19.5" customHeight="1" x14ac:dyDescent="0.35">
      <c r="F273" s="40"/>
      <c r="J273" s="65"/>
      <c r="K273" s="56"/>
      <c r="L273" s="164"/>
      <c r="M273" s="125"/>
    </row>
    <row r="274" spans="6:13" ht="19.5" customHeight="1" x14ac:dyDescent="0.35">
      <c r="F274" s="40"/>
      <c r="J274" s="65"/>
      <c r="K274" s="56"/>
      <c r="L274" s="164"/>
      <c r="M274" s="125"/>
    </row>
    <row r="275" spans="6:13" ht="19.5" customHeight="1" x14ac:dyDescent="0.35">
      <c r="F275" s="40"/>
      <c r="J275" s="65"/>
      <c r="K275" s="56"/>
      <c r="L275" s="164"/>
      <c r="M275" s="125"/>
    </row>
    <row r="276" spans="6:13" ht="19.5" customHeight="1" x14ac:dyDescent="0.35">
      <c r="F276" s="40"/>
      <c r="J276" s="65"/>
      <c r="K276" s="56"/>
      <c r="L276" s="164"/>
      <c r="M276" s="125"/>
    </row>
    <row r="277" spans="6:13" ht="19.5" customHeight="1" x14ac:dyDescent="0.35">
      <c r="F277" s="40"/>
      <c r="J277" s="65"/>
      <c r="K277" s="56"/>
      <c r="L277" s="164"/>
      <c r="M277" s="125"/>
    </row>
    <row r="278" spans="6:13" ht="19.5" customHeight="1" x14ac:dyDescent="0.35">
      <c r="F278" s="40"/>
      <c r="J278" s="65"/>
      <c r="K278" s="56"/>
      <c r="L278" s="164"/>
      <c r="M278" s="125"/>
    </row>
    <row r="279" spans="6:13" ht="19.5" customHeight="1" x14ac:dyDescent="0.35">
      <c r="F279" s="40"/>
      <c r="J279" s="65"/>
      <c r="K279" s="56"/>
      <c r="L279" s="164"/>
      <c r="M279" s="125"/>
    </row>
    <row r="280" spans="6:13" ht="19.5" customHeight="1" x14ac:dyDescent="0.35">
      <c r="F280" s="40"/>
      <c r="J280" s="65"/>
      <c r="K280" s="56"/>
      <c r="L280" s="164"/>
      <c r="M280" s="125"/>
    </row>
    <row r="281" spans="6:13" ht="19.5" customHeight="1" x14ac:dyDescent="0.35">
      <c r="F281" s="40"/>
      <c r="J281" s="65"/>
      <c r="K281" s="56"/>
      <c r="L281" s="164"/>
      <c r="M281" s="125"/>
    </row>
    <row r="282" spans="6:13" ht="19.5" customHeight="1" x14ac:dyDescent="0.35">
      <c r="F282" s="40"/>
      <c r="J282" s="65"/>
      <c r="K282" s="56"/>
      <c r="L282" s="164"/>
      <c r="M282" s="125"/>
    </row>
    <row r="283" spans="6:13" ht="19.5" customHeight="1" x14ac:dyDescent="0.35">
      <c r="F283" s="40"/>
      <c r="J283" s="65"/>
      <c r="K283" s="56"/>
      <c r="L283" s="164"/>
      <c r="M283" s="125"/>
    </row>
    <row r="284" spans="6:13" ht="19.5" customHeight="1" x14ac:dyDescent="0.35">
      <c r="F284" s="40"/>
      <c r="J284" s="65"/>
      <c r="K284" s="56"/>
      <c r="L284" s="164"/>
      <c r="M284" s="125"/>
    </row>
    <row r="285" spans="6:13" ht="19.5" customHeight="1" x14ac:dyDescent="0.35">
      <c r="F285" s="40"/>
      <c r="J285" s="65"/>
      <c r="K285" s="56"/>
      <c r="L285" s="164"/>
      <c r="M285" s="125"/>
    </row>
    <row r="286" spans="6:13" ht="19.5" customHeight="1" x14ac:dyDescent="0.35">
      <c r="F286" s="40"/>
      <c r="J286" s="65"/>
      <c r="K286" s="56"/>
      <c r="L286" s="164"/>
      <c r="M286" s="125"/>
    </row>
    <row r="287" spans="6:13" ht="19.5" customHeight="1" x14ac:dyDescent="0.35">
      <c r="F287" s="40"/>
      <c r="J287" s="65"/>
      <c r="K287" s="56"/>
      <c r="L287" s="164"/>
      <c r="M287" s="125"/>
    </row>
    <row r="288" spans="6:13" ht="19.5" customHeight="1" x14ac:dyDescent="0.35">
      <c r="F288" s="40"/>
      <c r="J288" s="65"/>
      <c r="L288" s="164"/>
      <c r="M288" s="125"/>
    </row>
    <row r="289" spans="6:13" ht="19.5" customHeight="1" x14ac:dyDescent="0.35">
      <c r="F289" s="40"/>
      <c r="J289" s="65"/>
      <c r="L289" s="164"/>
      <c r="M289" s="125"/>
    </row>
    <row r="290" spans="6:13" ht="19.5" customHeight="1" x14ac:dyDescent="0.35">
      <c r="J290" s="65"/>
    </row>
    <row r="291" spans="6:13" ht="19.5" customHeight="1" x14ac:dyDescent="0.35">
      <c r="J291" s="65"/>
    </row>
    <row r="292" spans="6:13" ht="19.5" customHeight="1" x14ac:dyDescent="0.35">
      <c r="J292" s="65"/>
    </row>
    <row r="293" spans="6:13" ht="19.5" customHeight="1" x14ac:dyDescent="0.35">
      <c r="J293" s="65"/>
    </row>
    <row r="294" spans="6:13" ht="19.5" customHeight="1" x14ac:dyDescent="0.35">
      <c r="J294" s="65"/>
    </row>
    <row r="295" spans="6:13" ht="19.5" customHeight="1" x14ac:dyDescent="0.35">
      <c r="J295" s="65"/>
    </row>
    <row r="296" spans="6:13" ht="19.5" customHeight="1" x14ac:dyDescent="0.35">
      <c r="J296" s="48"/>
    </row>
    <row r="297" spans="6:13" ht="19.5" customHeight="1" x14ac:dyDescent="0.35">
      <c r="J297" s="48"/>
    </row>
  </sheetData>
  <mergeCells count="17">
    <mergeCell ref="B2:M2"/>
    <mergeCell ref="F4:I4"/>
    <mergeCell ref="B23:M23"/>
    <mergeCell ref="B26:M26"/>
    <mergeCell ref="B11:M11"/>
    <mergeCell ref="F5:I5"/>
    <mergeCell ref="F6:I6"/>
    <mergeCell ref="F7:I7"/>
    <mergeCell ref="F8:I8"/>
    <mergeCell ref="C13:D13"/>
    <mergeCell ref="F13:G13"/>
    <mergeCell ref="I13:J13"/>
    <mergeCell ref="I19:J20"/>
    <mergeCell ref="L18:M18"/>
    <mergeCell ref="L19:M19"/>
    <mergeCell ref="L20:M20"/>
    <mergeCell ref="D24:F24"/>
  </mergeCells>
  <conditionalFormatting sqref="B29:I112">
    <cfRule type="expression" dxfId="38" priority="20">
      <formula>AND($B29&lt;&gt;"", $B29&lt;&gt;0)</formula>
    </cfRule>
  </conditionalFormatting>
  <conditionalFormatting sqref="E18:E19">
    <cfRule type="iconSet" priority="1">
      <iconSet iconSet="3Signs" showValue="0">
        <cfvo type="percent" val="0"/>
        <cfvo type="percent" val="0" gte="0"/>
        <cfvo type="num" val="100"/>
      </iconSet>
    </cfRule>
  </conditionalFormatting>
  <conditionalFormatting sqref="G12 G21:G27 G29:G101">
    <cfRule type="expression" dxfId="37" priority="40">
      <formula>AND(G12&lt;&gt;"",G12&lt;&gt;" ",G12&lt;&gt;0,G12&gt;=TODAY(),G12&lt;=TODAY()+30)</formula>
    </cfRule>
    <cfRule type="expression" dxfId="36" priority="41">
      <formula>AND(G12&lt;&gt;"",G12&lt;&gt;" ",G12&lt;&gt;0,G12&gt;TODAY()+30,G12&lt;=TODAY()+60)</formula>
    </cfRule>
    <cfRule type="expression" dxfId="35" priority="42">
      <formula>AND(G12&lt;&gt;"",G12&lt;&gt;" ",G12&lt;&gt;0,G12&gt;TODAY()+60,G12&lt;=TODAY()+90)</formula>
    </cfRule>
    <cfRule type="expression" dxfId="34" priority="43">
      <formula>AND(G12&lt;&gt;"",G12&lt;&gt;" ",G12&lt;&gt;0,G12&gt;TODAY()+90)</formula>
    </cfRule>
  </conditionalFormatting>
  <conditionalFormatting sqref="G17">
    <cfRule type="expression" dxfId="33" priority="22">
      <formula>AND(G17&lt;&gt;"",G17&lt;&gt;" ",G17&lt;&gt;0,G17&lt;TODAY())</formula>
    </cfRule>
    <cfRule type="expression" dxfId="32" priority="23">
      <formula>AND(G17&lt;&gt;"",G17&lt;&gt;" ",G17&lt;&gt;0,G17&gt;=TODAY(),G17&lt;=TODAY()+30)</formula>
    </cfRule>
    <cfRule type="expression" dxfId="31" priority="24">
      <formula>AND(G17&lt;&gt;"",G17&lt;&gt;" ",G17&lt;&gt;0,G17&gt;TODAY()+30,G17&lt;=TODAY()+60)</formula>
    </cfRule>
    <cfRule type="expression" dxfId="30" priority="25">
      <formula>AND(G17&lt;&gt;"",G17&lt;&gt;" ",G17&lt;&gt;0,G17&gt;TODAY()+60,G17&lt;=TODAY()+90)</formula>
    </cfRule>
    <cfRule type="expression" dxfId="29" priority="26">
      <formula>AND(G17&lt;&gt;"",G17&lt;&gt;" ",G17&lt;&gt;0,G17&gt;TODAY()+90)</formula>
    </cfRule>
  </conditionalFormatting>
  <conditionalFormatting sqref="G29:G101 G12 G21:G27">
    <cfRule type="expression" dxfId="28" priority="39">
      <formula>AND(G12&lt;&gt;"",G12&lt;&gt;" ",G12&lt;&gt;0,G12&lt;TODAY())</formula>
    </cfRule>
  </conditionalFormatting>
  <conditionalFormatting sqref="I19:J20">
    <cfRule type="cellIs" dxfId="27" priority="13" operator="greaterThan">
      <formula>0.8</formula>
    </cfRule>
    <cfRule type="cellIs" dxfId="26" priority="14" operator="lessThan">
      <formula>0.7</formula>
    </cfRule>
    <cfRule type="cellIs" dxfId="25" priority="52" operator="between">
      <formula>0.7</formula>
      <formula>0.8</formula>
    </cfRule>
  </conditionalFormatting>
  <conditionalFormatting sqref="J18">
    <cfRule type="cellIs" dxfId="24" priority="12" operator="equal">
      <formula>"NO APTO"</formula>
    </cfRule>
    <cfRule type="cellIs" dxfId="23" priority="53" operator="equal">
      <formula>"APTO COND."</formula>
    </cfRule>
    <cfRule type="cellIs" dxfId="22" priority="54" operator="equal">
      <formula>"APTO"</formula>
    </cfRule>
  </conditionalFormatting>
  <conditionalFormatting sqref="J29:J101">
    <cfRule type="containsText" dxfId="21" priority="19" operator="containsText" text="DESFAVORABLE">
      <formula>NOT(ISERROR(SEARCH("DESFAVORABLE",J29)))</formula>
    </cfRule>
    <cfRule type="containsText" dxfId="20" priority="44" operator="containsText" text="FAVORABLE">
      <formula>NOT(ISERROR(SEARCH("FAVORABLE",J29)))</formula>
    </cfRule>
    <cfRule type="containsText" dxfId="19" priority="45" operator="containsText" text="CONDICIONADO">
      <formula>NOT(ISERROR(SEARCH("CONDICIONADO",J29)))</formula>
    </cfRule>
    <cfRule type="containsText" dxfId="18" priority="46" operator="containsText" text="PTE.">
      <formula>NOT(ISERROR(SEARCH("PTE.",J29)))</formula>
    </cfRule>
    <cfRule type="containsText" dxfId="17" priority="47" operator="containsText" text="ERROR">
      <formula>NOT(ISERROR(SEARCH("ERROR",J29)))</formula>
    </cfRule>
  </conditionalFormatting>
  <conditionalFormatting sqref="K29:K101">
    <cfRule type="expression" dxfId="16" priority="48">
      <formula>LEN(K29)=2</formula>
    </cfRule>
    <cfRule type="expression" dxfId="15" priority="49">
      <formula>AND(LEN(K29)&gt;=3,LEN(K29)&lt;=4)</formula>
    </cfRule>
    <cfRule type="expression" dxfId="14" priority="50">
      <formula>AND(LEN(K29)&gt;=5,LEN(K29)&lt;=6)</formula>
    </cfRule>
    <cfRule type="expression" dxfId="13" priority="51">
      <formula>LEN(K29)&gt;=8</formula>
    </cfRule>
  </conditionalFormatting>
  <conditionalFormatting sqref="K29:M112">
    <cfRule type="expression" dxfId="12" priority="21">
      <formula>AND($B29&lt;&gt;"", $B29&lt;&gt;0)</formula>
    </cfRule>
  </conditionalFormatting>
  <conditionalFormatting sqref="L18:L20">
    <cfRule type="cellIs" dxfId="11" priority="3" operator="equal">
      <formula>"NO APTO"</formula>
    </cfRule>
    <cfRule type="cellIs" dxfId="10" priority="4" operator="equal">
      <formula>"APTO COND."</formula>
    </cfRule>
    <cfRule type="cellIs" dxfId="9" priority="5" operator="equal">
      <formula>"APTO"</formula>
    </cfRule>
  </conditionalFormatting>
  <pageMargins left="0.7" right="0.7" top="0.75" bottom="0.75" header="0.3" footer="0.3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BB77-E106-45EC-B11A-98DA4D0FC395}">
  <sheetPr codeName="Hoja2"/>
  <dimension ref="C1:P99"/>
  <sheetViews>
    <sheetView topLeftCell="G1" workbookViewId="0">
      <selection activeCell="G1" sqref="G1:H1"/>
    </sheetView>
  </sheetViews>
  <sheetFormatPr baseColWidth="10" defaultColWidth="10.90625" defaultRowHeight="14.5" x14ac:dyDescent="0.35"/>
  <cols>
    <col min="4" max="4" width="24.1796875" customWidth="1"/>
    <col min="6" max="6" width="21.90625" customWidth="1"/>
    <col min="7" max="7" width="19" customWidth="1"/>
    <col min="8" max="8" width="64.08984375" bestFit="1" customWidth="1"/>
    <col min="10" max="10" width="13.36328125" customWidth="1"/>
    <col min="11" max="11" width="7.453125" customWidth="1"/>
    <col min="12" max="12" width="2.90625" customWidth="1"/>
    <col min="13" max="13" width="15.81640625" customWidth="1"/>
  </cols>
  <sheetData>
    <row r="1" spans="3:16" x14ac:dyDescent="0.35">
      <c r="G1" s="125" t="s">
        <v>346</v>
      </c>
      <c r="H1" s="125" t="s">
        <v>345</v>
      </c>
    </row>
    <row r="2" spans="3:16" ht="15" thickBot="1" x14ac:dyDescent="0.4">
      <c r="C2" s="31" t="s">
        <v>80</v>
      </c>
      <c r="D2" s="31" t="s">
        <v>80</v>
      </c>
      <c r="E2" s="31" t="s">
        <v>80</v>
      </c>
      <c r="F2" s="31" t="s">
        <v>80</v>
      </c>
      <c r="G2" s="31" t="s">
        <v>80</v>
      </c>
      <c r="H2" s="31" t="s">
        <v>80</v>
      </c>
    </row>
    <row r="3" spans="3:16" ht="15" thickBot="1" x14ac:dyDescent="0.4">
      <c r="C3" s="27">
        <v>1</v>
      </c>
      <c r="D3" s="28" t="s">
        <v>216</v>
      </c>
      <c r="E3" s="29" t="s">
        <v>215</v>
      </c>
      <c r="F3" s="27" t="s">
        <v>217</v>
      </c>
      <c r="G3" s="30" t="s">
        <v>181</v>
      </c>
      <c r="H3" s="30" t="s">
        <v>266</v>
      </c>
      <c r="J3" s="208" t="s">
        <v>336</v>
      </c>
      <c r="K3" s="209"/>
      <c r="L3" s="209"/>
      <c r="M3" s="209"/>
      <c r="N3" s="210"/>
    </row>
    <row r="4" spans="3:16" ht="15" thickBot="1" x14ac:dyDescent="0.4">
      <c r="C4" s="27">
        <v>3</v>
      </c>
      <c r="D4" s="27" t="s">
        <v>219</v>
      </c>
      <c r="E4" s="27" t="s">
        <v>218</v>
      </c>
      <c r="F4" s="27" t="s">
        <v>220</v>
      </c>
      <c r="G4" s="30" t="s">
        <v>251</v>
      </c>
      <c r="H4" s="30" t="s">
        <v>267</v>
      </c>
    </row>
    <row r="5" spans="3:16" x14ac:dyDescent="0.35">
      <c r="C5" s="27">
        <v>5</v>
      </c>
      <c r="D5" s="27" t="s">
        <v>179</v>
      </c>
      <c r="E5" s="27" t="s">
        <v>180</v>
      </c>
      <c r="F5" s="27" t="s">
        <v>221</v>
      </c>
      <c r="G5" s="30" t="s">
        <v>252</v>
      </c>
      <c r="H5" s="30" t="s">
        <v>182</v>
      </c>
      <c r="J5" s="17">
        <v>1</v>
      </c>
      <c r="K5" s="18">
        <f ca="1">IF(FICHA!P11="favorable",3,IF(FICHA!P11="condicionado",2,IF(OR(FICHA!P11="desfavorable",FICHA!P11="pte."),1,0)))</f>
        <v>0</v>
      </c>
      <c r="M5" s="6" t="s">
        <v>125</v>
      </c>
      <c r="N5" s="7">
        <f ca="1">COUNTIF(FICHA!$P$11:$P$107,"favorable")</f>
        <v>0</v>
      </c>
    </row>
    <row r="6" spans="3:16" x14ac:dyDescent="0.35">
      <c r="C6" s="27">
        <v>6</v>
      </c>
      <c r="D6" s="27" t="s">
        <v>170</v>
      </c>
      <c r="E6" s="27" t="s">
        <v>172</v>
      </c>
      <c r="F6" s="27" t="s">
        <v>222</v>
      </c>
      <c r="G6" s="30" t="s">
        <v>171</v>
      </c>
      <c r="H6" s="30" t="s">
        <v>173</v>
      </c>
      <c r="J6" s="17">
        <v>2</v>
      </c>
      <c r="K6" s="18">
        <f ca="1">IF(FICHA!P12="favorable",3,IF(FICHA!P12="condicionado",2,IF(OR(FICHA!P12="desfavorable",FICHA!P12="pte."),1,0)))</f>
        <v>0</v>
      </c>
      <c r="M6" s="8" t="s">
        <v>124</v>
      </c>
      <c r="N6" s="9">
        <f ca="1">COUNTIF(FICHA!$P$11:$P$107,"Condicionado")</f>
        <v>0</v>
      </c>
    </row>
    <row r="7" spans="3:16" x14ac:dyDescent="0.35">
      <c r="C7" s="27">
        <v>7</v>
      </c>
      <c r="D7" s="27" t="s">
        <v>153</v>
      </c>
      <c r="E7" s="27" t="s">
        <v>223</v>
      </c>
      <c r="F7" s="27" t="s">
        <v>224</v>
      </c>
      <c r="G7" s="30" t="s">
        <v>251</v>
      </c>
      <c r="H7" s="30" t="s">
        <v>157</v>
      </c>
      <c r="J7" s="17">
        <v>3</v>
      </c>
      <c r="K7" s="18">
        <f ca="1">IF(FICHA!P13="favorable",3,IF(FICHA!P13="condicionado",2,IF(OR(FICHA!P13="desfavorable",FICHA!P13="pte."),1,0)))</f>
        <v>0</v>
      </c>
      <c r="M7" s="8" t="s">
        <v>122</v>
      </c>
      <c r="N7" s="9">
        <f ca="1">COUNTIF(FICHA!$P$11:$P$107,"desfavorable")</f>
        <v>0</v>
      </c>
    </row>
    <row r="8" spans="3:16" x14ac:dyDescent="0.35">
      <c r="C8" s="27">
        <v>8</v>
      </c>
      <c r="D8" s="27" t="s">
        <v>226</v>
      </c>
      <c r="E8" s="27" t="s">
        <v>225</v>
      </c>
      <c r="F8" s="27" t="s">
        <v>227</v>
      </c>
      <c r="G8" s="30" t="s">
        <v>251</v>
      </c>
      <c r="H8" s="30" t="s">
        <v>268</v>
      </c>
      <c r="J8" s="17">
        <v>4</v>
      </c>
      <c r="K8" s="18">
        <f ca="1">IF(FICHA!P14="favorable",3,IF(FICHA!P14="condicionado",2,IF(OR(FICHA!P14="desfavorable",FICHA!P14="pte."),1,0)))</f>
        <v>0</v>
      </c>
      <c r="M8" s="8" t="s">
        <v>123</v>
      </c>
      <c r="N8" s="9">
        <f ca="1">COUNTIF(FICHA!$P$11:$P$107,"Pte.")</f>
        <v>0</v>
      </c>
    </row>
    <row r="9" spans="3:16" ht="15" thickBot="1" x14ac:dyDescent="0.4">
      <c r="C9" s="27">
        <v>9</v>
      </c>
      <c r="D9" s="27" t="s">
        <v>229</v>
      </c>
      <c r="E9" s="27" t="s">
        <v>228</v>
      </c>
      <c r="F9" s="27" t="s">
        <v>230</v>
      </c>
      <c r="G9" s="30" t="s">
        <v>137</v>
      </c>
      <c r="H9" s="30" t="s">
        <v>161</v>
      </c>
      <c r="J9" s="17">
        <v>5</v>
      </c>
      <c r="K9" s="18">
        <f ca="1">IF(FICHA!P15="favorable",3,IF(FICHA!P15="condicionado",2,IF(OR(FICHA!P15="desfavorable",FICHA!P15="pte."),1,0)))</f>
        <v>0</v>
      </c>
      <c r="M9" s="21" t="s">
        <v>327</v>
      </c>
      <c r="N9" s="108">
        <f ca="1">COUNTIF(FICHA!$P$11:$P$107,"Error")</f>
        <v>0</v>
      </c>
      <c r="P9" s="5"/>
    </row>
    <row r="10" spans="3:16" ht="15" thickBot="1" x14ac:dyDescent="0.4">
      <c r="C10" s="27">
        <v>10</v>
      </c>
      <c r="D10" s="27" t="s">
        <v>260</v>
      </c>
      <c r="E10" s="27" t="s">
        <v>261</v>
      </c>
      <c r="F10" s="27" t="s">
        <v>231</v>
      </c>
      <c r="G10" s="30" t="s">
        <v>251</v>
      </c>
      <c r="H10" s="30" t="s">
        <v>269</v>
      </c>
      <c r="J10" s="17">
        <v>6</v>
      </c>
      <c r="K10" s="18">
        <f ca="1">IF(FICHA!P16="favorable",3,IF(FICHA!P16="condicionado",2,IF(OR(FICHA!P16="desfavorable",FICHA!P16="pte."),1,0)))</f>
        <v>0</v>
      </c>
    </row>
    <row r="11" spans="3:16" x14ac:dyDescent="0.35">
      <c r="C11" s="27">
        <v>12</v>
      </c>
      <c r="D11" s="27" t="s">
        <v>68</v>
      </c>
      <c r="E11" s="27" t="s">
        <v>69</v>
      </c>
      <c r="F11" s="27" t="s">
        <v>233</v>
      </c>
      <c r="G11" s="30" t="s">
        <v>174</v>
      </c>
      <c r="H11" s="30" t="s">
        <v>147</v>
      </c>
      <c r="J11" s="17">
        <v>7</v>
      </c>
      <c r="K11" s="18">
        <f ca="1">IF(FICHA!P17="favorable",3,IF(FICHA!P17="condicionado",2,IF(OR(FICHA!P17="desfavorable",FICHA!P17="pte."),1,0)))</f>
        <v>0</v>
      </c>
      <c r="M11" s="6" t="s">
        <v>143</v>
      </c>
      <c r="N11" s="7">
        <f ca="1">COUNTIFS(K5:K95,"&lt;&gt;0",K5:K95,"&lt;&gt;")</f>
        <v>0</v>
      </c>
    </row>
    <row r="12" spans="3:16" x14ac:dyDescent="0.35">
      <c r="C12" s="27">
        <v>13</v>
      </c>
      <c r="D12" s="27" t="s">
        <v>56</v>
      </c>
      <c r="E12" s="27" t="s">
        <v>57</v>
      </c>
      <c r="F12" s="27" t="s">
        <v>234</v>
      </c>
      <c r="G12" s="30" t="s">
        <v>254</v>
      </c>
      <c r="H12" s="30" t="s">
        <v>135</v>
      </c>
      <c r="J12" s="17">
        <v>8</v>
      </c>
      <c r="K12" s="18">
        <f ca="1">IF(FICHA!P18="favorable",3,IF(FICHA!P18="condicionado",2,IF(OR(FICHA!P18="desfavorable",FICHA!P18="pte."),1,0)))</f>
        <v>0</v>
      </c>
      <c r="M12" s="8" t="s">
        <v>144</v>
      </c>
      <c r="N12" s="9">
        <f ca="1">N11*3</f>
        <v>0</v>
      </c>
    </row>
    <row r="13" spans="3:16" x14ac:dyDescent="0.35">
      <c r="C13" s="27">
        <v>14.1</v>
      </c>
      <c r="D13" s="27" t="s">
        <v>262</v>
      </c>
      <c r="E13" s="27" t="s">
        <v>263</v>
      </c>
      <c r="F13" s="27" t="s">
        <v>232</v>
      </c>
      <c r="G13" s="30" t="s">
        <v>139</v>
      </c>
      <c r="H13" s="30"/>
      <c r="J13" s="17">
        <v>9</v>
      </c>
      <c r="K13" s="18">
        <f ca="1">IF(FICHA!P19="favorable",3,IF(FICHA!P19="condicionado",2,IF(OR(FICHA!P19="desfavorable",FICHA!P19="pte."),1,0)))</f>
        <v>0</v>
      </c>
      <c r="M13" s="8" t="s">
        <v>145</v>
      </c>
      <c r="N13" s="9">
        <f ca="1">SUM(K5:K95)</f>
        <v>0</v>
      </c>
      <c r="O13" s="5"/>
    </row>
    <row r="14" spans="3:16" ht="15" thickBot="1" x14ac:dyDescent="0.4">
      <c r="C14" s="27">
        <v>14.2</v>
      </c>
      <c r="D14" s="27" t="s">
        <v>66</v>
      </c>
      <c r="E14" s="27" t="s">
        <v>67</v>
      </c>
      <c r="F14" s="27" t="s">
        <v>232</v>
      </c>
      <c r="G14" s="30" t="s">
        <v>138</v>
      </c>
      <c r="H14" s="30" t="s">
        <v>159</v>
      </c>
      <c r="J14" s="17">
        <v>10</v>
      </c>
      <c r="K14" s="18">
        <f ca="1">IF(FICHA!P20="favorable",3,IF(FICHA!P20="condicionado",2,IF(OR(FICHA!P20="desfavorable",FICHA!P20="pte."),1,0)))</f>
        <v>0</v>
      </c>
      <c r="M14" s="10"/>
      <c r="N14" s="11"/>
      <c r="O14" s="5"/>
    </row>
    <row r="15" spans="3:16" ht="15" thickBot="1" x14ac:dyDescent="0.4">
      <c r="C15" s="27">
        <v>14.3</v>
      </c>
      <c r="D15" s="27" t="s">
        <v>70</v>
      </c>
      <c r="E15" s="27" t="s">
        <v>71</v>
      </c>
      <c r="F15" s="27" t="s">
        <v>232</v>
      </c>
      <c r="G15" s="30" t="s">
        <v>139</v>
      </c>
      <c r="H15" s="30" t="s">
        <v>160</v>
      </c>
      <c r="J15" s="17">
        <v>11</v>
      </c>
      <c r="K15" s="18">
        <f ca="1">IF(FICHA!P21="favorable",3,IF(FICHA!P21="condicionado",2,IF(OR(FICHA!P21="desfavorable",FICHA!P21="pte."),1,0)))</f>
        <v>0</v>
      </c>
      <c r="M15" s="12" t="s">
        <v>146</v>
      </c>
      <c r="N15" s="13" t="e">
        <f ca="1">N13/(N12)</f>
        <v>#DIV/0!</v>
      </c>
      <c r="O15" s="5"/>
    </row>
    <row r="16" spans="3:16" x14ac:dyDescent="0.35">
      <c r="C16" s="27">
        <v>14.4</v>
      </c>
      <c r="D16" s="27" t="s">
        <v>250</v>
      </c>
      <c r="E16" s="27" t="s">
        <v>249</v>
      </c>
      <c r="F16" s="27" t="s">
        <v>232</v>
      </c>
      <c r="G16" s="30" t="s">
        <v>139</v>
      </c>
      <c r="H16" s="30"/>
      <c r="J16" s="17">
        <v>12</v>
      </c>
      <c r="K16" s="18">
        <f ca="1">IF(FICHA!P22="favorable",3,IF(FICHA!P22="condicionado",2,IF(OR(FICHA!P22="desfavorable",FICHA!P22="pte."),1,0)))</f>
        <v>0</v>
      </c>
      <c r="M16" s="5"/>
      <c r="N16" s="14"/>
      <c r="O16" s="5"/>
    </row>
    <row r="17" spans="3:15" ht="15" thickBot="1" x14ac:dyDescent="0.4">
      <c r="C17" s="27">
        <v>14.5</v>
      </c>
      <c r="D17" s="27" t="s">
        <v>264</v>
      </c>
      <c r="E17" s="27" t="s">
        <v>265</v>
      </c>
      <c r="F17" s="27" t="s">
        <v>232</v>
      </c>
      <c r="G17" s="30" t="s">
        <v>139</v>
      </c>
      <c r="H17" s="30"/>
      <c r="J17" s="17">
        <v>13</v>
      </c>
      <c r="K17" s="18">
        <f ca="1">IF(FICHA!P23="favorable",3,IF(FICHA!P23="condicionado",2,IF(OR(FICHA!P23="desfavorable",FICHA!P23="pte."),1,0)))</f>
        <v>0</v>
      </c>
      <c r="M17" s="5"/>
      <c r="N17" s="5"/>
      <c r="O17" s="5"/>
    </row>
    <row r="18" spans="3:15" ht="15" thickBot="1" x14ac:dyDescent="0.4">
      <c r="C18" s="27">
        <v>16</v>
      </c>
      <c r="D18" s="27" t="s">
        <v>257</v>
      </c>
      <c r="E18" s="27" t="s">
        <v>76</v>
      </c>
      <c r="F18" s="27" t="s">
        <v>235</v>
      </c>
      <c r="G18" s="30" t="s">
        <v>140</v>
      </c>
      <c r="H18" s="30" t="s">
        <v>164</v>
      </c>
      <c r="J18" s="17">
        <v>14</v>
      </c>
      <c r="K18" s="18">
        <f ca="1">IF(FICHA!P24="favorable",3,IF(FICHA!P24="condicionado",2,IF(OR(FICHA!P24="desfavorable",FICHA!P24="pte."),1,0)))</f>
        <v>0</v>
      </c>
      <c r="M18" s="211" t="s">
        <v>341</v>
      </c>
      <c r="N18" s="212"/>
      <c r="O18" s="5"/>
    </row>
    <row r="19" spans="3:15" x14ac:dyDescent="0.35">
      <c r="C19" s="27">
        <v>17</v>
      </c>
      <c r="D19" s="27" t="s">
        <v>258</v>
      </c>
      <c r="E19" s="27" t="s">
        <v>259</v>
      </c>
      <c r="F19" s="27" t="s">
        <v>235</v>
      </c>
      <c r="G19" s="30" t="s">
        <v>140</v>
      </c>
      <c r="H19" s="30" t="s">
        <v>164</v>
      </c>
      <c r="J19" s="17">
        <v>15</v>
      </c>
      <c r="K19" s="18">
        <f ca="1">IF(FICHA!P25="favorable",3,IF(FICHA!P25="condicionado",2,IF(OR(FICHA!P25="desfavorable",FICHA!P25="pte."),1,0)))</f>
        <v>0</v>
      </c>
      <c r="M19" s="118" t="s">
        <v>337</v>
      </c>
      <c r="N19" s="121">
        <v>3</v>
      </c>
      <c r="O19" s="15"/>
    </row>
    <row r="20" spans="3:15" x14ac:dyDescent="0.35">
      <c r="C20" s="27">
        <v>18</v>
      </c>
      <c r="D20" s="27" t="s">
        <v>74</v>
      </c>
      <c r="E20" s="27" t="s">
        <v>75</v>
      </c>
      <c r="F20" s="27" t="s">
        <v>239</v>
      </c>
      <c r="G20" s="30" t="s">
        <v>167</v>
      </c>
      <c r="H20" s="30" t="s">
        <v>163</v>
      </c>
      <c r="J20" s="17">
        <v>16</v>
      </c>
      <c r="K20" s="18">
        <f ca="1">IF(FICHA!P26="favorable",3,IF(FICHA!P26="condicionado",2,IF(OR(FICHA!P26="desfavorable",FICHA!P26="pte."),1,0)))</f>
        <v>0</v>
      </c>
      <c r="M20" s="117" t="s">
        <v>338</v>
      </c>
      <c r="N20" s="122">
        <v>2</v>
      </c>
      <c r="O20" s="15"/>
    </row>
    <row r="21" spans="3:15" x14ac:dyDescent="0.35">
      <c r="C21" s="27">
        <v>19</v>
      </c>
      <c r="D21" s="27" t="s">
        <v>64</v>
      </c>
      <c r="E21" s="27" t="s">
        <v>65</v>
      </c>
      <c r="F21" s="27" t="s">
        <v>233</v>
      </c>
      <c r="G21" s="30" t="s">
        <v>137</v>
      </c>
      <c r="H21" s="30" t="s">
        <v>158</v>
      </c>
      <c r="J21" s="17">
        <v>17</v>
      </c>
      <c r="K21" s="18">
        <f ca="1">IF(FICHA!P27="favorable",3,IF(FICHA!P27="condicionado",2,IF(OR(FICHA!P27="desfavorable",FICHA!P27="pte."),1,0)))</f>
        <v>0</v>
      </c>
      <c r="M21" s="119" t="s">
        <v>339</v>
      </c>
      <c r="N21" s="123">
        <v>1</v>
      </c>
      <c r="O21" s="5"/>
    </row>
    <row r="22" spans="3:15" ht="15" thickBot="1" x14ac:dyDescent="0.4">
      <c r="C22" s="27">
        <v>20</v>
      </c>
      <c r="D22" s="27" t="s">
        <v>237</v>
      </c>
      <c r="E22" s="27" t="s">
        <v>236</v>
      </c>
      <c r="F22" s="27" t="s">
        <v>238</v>
      </c>
      <c r="G22" s="30" t="s">
        <v>154</v>
      </c>
      <c r="H22" s="30" t="s">
        <v>270</v>
      </c>
      <c r="J22" s="17">
        <v>18</v>
      </c>
      <c r="K22" s="18">
        <f ca="1">IF(FICHA!P28="favorable",3,IF(FICHA!P28="condicionado",2,IF(OR(FICHA!P28="desfavorable",FICHA!P28="pte."),1,0)))</f>
        <v>0</v>
      </c>
      <c r="M22" s="120" t="s">
        <v>340</v>
      </c>
      <c r="N22" s="124">
        <v>1</v>
      </c>
      <c r="O22" s="5"/>
    </row>
    <row r="23" spans="3:15" x14ac:dyDescent="0.35">
      <c r="C23" s="27">
        <v>22</v>
      </c>
      <c r="D23" s="27" t="s">
        <v>72</v>
      </c>
      <c r="E23" s="27" t="s">
        <v>73</v>
      </c>
      <c r="F23" s="27" t="s">
        <v>241</v>
      </c>
      <c r="G23" s="30" t="s">
        <v>168</v>
      </c>
      <c r="H23" s="30" t="s">
        <v>162</v>
      </c>
      <c r="J23" s="17">
        <v>19</v>
      </c>
      <c r="K23" s="18">
        <f ca="1">IF(FICHA!P29="favorable",3,IF(FICHA!P29="condicionado",2,IF(OR(FICHA!P29="desfavorable",FICHA!P29="pte."),1,0)))</f>
        <v>0</v>
      </c>
      <c r="O23" s="5"/>
    </row>
    <row r="24" spans="3:15" x14ac:dyDescent="0.35">
      <c r="C24" s="27">
        <v>24</v>
      </c>
      <c r="D24" s="27" t="s">
        <v>166</v>
      </c>
      <c r="E24" s="27" t="s">
        <v>169</v>
      </c>
      <c r="F24" s="27" t="s">
        <v>242</v>
      </c>
      <c r="G24" s="30" t="s">
        <v>253</v>
      </c>
      <c r="H24" s="30" t="s">
        <v>165</v>
      </c>
      <c r="J24" s="17">
        <v>20</v>
      </c>
      <c r="K24" s="18">
        <f ca="1">IF(FICHA!P30="favorable",3,IF(FICHA!P30="condicionado",2,IF(OR(FICHA!P30="desfavorable",FICHA!P30="pte."),1,0)))</f>
        <v>0</v>
      </c>
    </row>
    <row r="25" spans="3:15" x14ac:dyDescent="0.35">
      <c r="C25" s="27">
        <v>27</v>
      </c>
      <c r="D25" s="27" t="s">
        <v>244</v>
      </c>
      <c r="E25" s="27" t="s">
        <v>243</v>
      </c>
      <c r="F25" s="27" t="s">
        <v>245</v>
      </c>
      <c r="G25" s="30"/>
      <c r="H25" s="30"/>
      <c r="J25" s="17">
        <v>21</v>
      </c>
      <c r="K25" s="18">
        <f ca="1">IF(FICHA!P31="favorable",3,IF(FICHA!P31="condicionado",2,IF(OR(FICHA!P31="desfavorable",FICHA!P31="pte."),1,0)))</f>
        <v>0</v>
      </c>
    </row>
    <row r="26" spans="3:15" x14ac:dyDescent="0.35">
      <c r="C26" s="27">
        <v>28</v>
      </c>
      <c r="D26" s="27" t="s">
        <v>247</v>
      </c>
      <c r="E26" s="27" t="s">
        <v>246</v>
      </c>
      <c r="F26" s="27" t="s">
        <v>248</v>
      </c>
      <c r="G26" s="30"/>
      <c r="H26" s="30"/>
      <c r="J26" s="17">
        <v>22</v>
      </c>
      <c r="K26" s="18">
        <f ca="1">IF(FICHA!P32="favorable",3,IF(FICHA!P32="condicionado",2,IF(OR(FICHA!P32="desfavorable",FICHA!P32="pte."),1,0)))</f>
        <v>0</v>
      </c>
    </row>
    <row r="27" spans="3:15" x14ac:dyDescent="0.35">
      <c r="C27" s="27">
        <v>35</v>
      </c>
      <c r="D27" s="27" t="s">
        <v>62</v>
      </c>
      <c r="E27" s="27" t="s">
        <v>63</v>
      </c>
      <c r="F27" s="27" t="s">
        <v>240</v>
      </c>
      <c r="G27" s="30" t="s">
        <v>136</v>
      </c>
      <c r="H27" s="30" t="s">
        <v>148</v>
      </c>
      <c r="J27" s="17">
        <v>23</v>
      </c>
      <c r="K27" s="18">
        <f ca="1">IF(FICHA!P33="favorable",3,IF(FICHA!P33="condicionado",2,IF(OR(FICHA!P33="desfavorable",FICHA!P33="pte."),1,0)))</f>
        <v>0</v>
      </c>
    </row>
    <row r="28" spans="3:15" x14ac:dyDescent="0.35">
      <c r="C28" s="27">
        <v>36</v>
      </c>
      <c r="D28" s="27" t="s">
        <v>293</v>
      </c>
      <c r="E28" s="27" t="s">
        <v>294</v>
      </c>
      <c r="F28" s="27" t="s">
        <v>295</v>
      </c>
      <c r="G28" s="30" t="s">
        <v>334</v>
      </c>
      <c r="H28" s="30" t="s">
        <v>308</v>
      </c>
      <c r="J28" s="17">
        <v>24</v>
      </c>
      <c r="K28" s="18">
        <f ca="1">IF(FICHA!P34="favorable",3,IF(FICHA!P34="condicionado",2,IF(OR(FICHA!P34="desfavorable",FICHA!P34="pte."),1,0)))</f>
        <v>0</v>
      </c>
    </row>
    <row r="29" spans="3:15" x14ac:dyDescent="0.35">
      <c r="C29" s="27">
        <v>37</v>
      </c>
      <c r="D29" s="27" t="s">
        <v>298</v>
      </c>
      <c r="E29" s="27" t="s">
        <v>299</v>
      </c>
      <c r="F29" s="27" t="s">
        <v>295</v>
      </c>
      <c r="G29" s="30" t="s">
        <v>333</v>
      </c>
      <c r="H29" s="30" t="s">
        <v>307</v>
      </c>
      <c r="J29" s="17">
        <v>25</v>
      </c>
      <c r="K29" s="18">
        <f ca="1">IF(FICHA!P35="favorable",3,IF(FICHA!P35="condicionado",2,IF(OR(FICHA!P35="desfavorable",FICHA!P35="pte."),1,0)))</f>
        <v>0</v>
      </c>
    </row>
    <row r="30" spans="3:15" x14ac:dyDescent="0.35">
      <c r="C30" s="27">
        <v>38</v>
      </c>
      <c r="D30" s="27" t="s">
        <v>300</v>
      </c>
      <c r="E30" s="27" t="s">
        <v>301</v>
      </c>
      <c r="F30" s="27" t="s">
        <v>295</v>
      </c>
      <c r="G30" s="30"/>
      <c r="H30" s="30" t="s">
        <v>306</v>
      </c>
      <c r="J30" s="17">
        <v>26</v>
      </c>
      <c r="K30" s="18">
        <f ca="1">IF(FICHA!P36="favorable",3,IF(FICHA!P36="condicionado",2,IF(OR(FICHA!P36="desfavorable",FICHA!P36="pte."),1,0)))</f>
        <v>0</v>
      </c>
    </row>
    <row r="31" spans="3:15" x14ac:dyDescent="0.35">
      <c r="C31" s="27">
        <v>39</v>
      </c>
      <c r="D31" s="27" t="s">
        <v>296</v>
      </c>
      <c r="E31" s="27" t="s">
        <v>297</v>
      </c>
      <c r="F31" s="27" t="s">
        <v>295</v>
      </c>
      <c r="G31" s="30" t="s">
        <v>335</v>
      </c>
      <c r="H31" s="30" t="s">
        <v>305</v>
      </c>
      <c r="J31" s="17">
        <v>27</v>
      </c>
      <c r="K31" s="18">
        <f ca="1">IF(FICHA!P37="favorable",3,IF(FICHA!P37="condicionado",2,IF(OR(FICHA!P37="desfavorable",FICHA!P37="pte."),1,0)))</f>
        <v>0</v>
      </c>
    </row>
    <row r="32" spans="3:15" x14ac:dyDescent="0.35">
      <c r="C32" s="27">
        <v>41</v>
      </c>
      <c r="D32" s="27" t="s">
        <v>302</v>
      </c>
      <c r="E32" s="27" t="s">
        <v>303</v>
      </c>
      <c r="F32" s="27"/>
      <c r="G32" s="30" t="s">
        <v>251</v>
      </c>
      <c r="H32" s="30" t="s">
        <v>304</v>
      </c>
      <c r="J32" s="17">
        <v>28</v>
      </c>
      <c r="K32" s="18">
        <f ca="1">IF(FICHA!P38="favorable",3,IF(FICHA!P38="condicionado",2,IF(OR(FICHA!P38="desfavorable",FICHA!P38="pte."),1,0)))</f>
        <v>0</v>
      </c>
    </row>
    <row r="33" spans="3:11" x14ac:dyDescent="0.35">
      <c r="C33" s="27"/>
      <c r="D33" s="27"/>
      <c r="E33" s="27"/>
      <c r="F33" s="27"/>
      <c r="G33" s="30"/>
      <c r="H33" s="30"/>
      <c r="J33" s="17">
        <v>29</v>
      </c>
      <c r="K33" s="18">
        <f ca="1">IF(FICHA!P39="favorable",3,IF(FICHA!P39="condicionado",2,IF(OR(FICHA!P39="desfavorable",FICHA!P39="pte."),1,0)))</f>
        <v>0</v>
      </c>
    </row>
    <row r="34" spans="3:11" x14ac:dyDescent="0.35">
      <c r="C34" s="27"/>
      <c r="D34" s="27"/>
      <c r="E34" s="27"/>
      <c r="F34" s="27"/>
      <c r="G34" s="30"/>
      <c r="H34" s="30"/>
      <c r="J34" s="17">
        <v>30</v>
      </c>
      <c r="K34" s="18">
        <f ca="1">IF(FICHA!P40="favorable",3,IF(FICHA!P40="condicionado",2,IF(OR(FICHA!P40="desfavorable",FICHA!P40="pte."),1,0)))</f>
        <v>0</v>
      </c>
    </row>
    <row r="35" spans="3:11" x14ac:dyDescent="0.35">
      <c r="C35" s="27"/>
      <c r="D35" s="27"/>
      <c r="E35" s="27"/>
      <c r="F35" s="27"/>
      <c r="G35" s="30"/>
      <c r="H35" s="30"/>
      <c r="J35" s="17">
        <v>31</v>
      </c>
      <c r="K35" s="18">
        <f ca="1">IF(FICHA!P41="favorable",3,IF(FICHA!P41="condicionado",2,IF(OR(FICHA!P41="desfavorable",FICHA!P41="pte."),1,0)))</f>
        <v>0</v>
      </c>
    </row>
    <row r="36" spans="3:11" x14ac:dyDescent="0.35">
      <c r="C36" s="27"/>
      <c r="D36" s="27"/>
      <c r="E36" s="27"/>
      <c r="F36" s="27"/>
      <c r="G36" s="30"/>
      <c r="H36" s="30"/>
      <c r="J36" s="17">
        <v>32</v>
      </c>
      <c r="K36" s="18">
        <f ca="1">IF(FICHA!P42="favorable",3,IF(FICHA!P42="condicionado",2,IF(OR(FICHA!P42="desfavorable",FICHA!P42="pte."),1,0)))</f>
        <v>0</v>
      </c>
    </row>
    <row r="37" spans="3:11" x14ac:dyDescent="0.35">
      <c r="C37" s="27"/>
      <c r="D37" s="27"/>
      <c r="E37" s="27"/>
      <c r="F37" s="27"/>
      <c r="G37" s="30"/>
      <c r="H37" s="30"/>
      <c r="J37" s="17">
        <v>33</v>
      </c>
      <c r="K37" s="18">
        <f ca="1">IF(FICHA!P43="favorable",3,IF(FICHA!P43="condicionado",2,IF(OR(FICHA!P43="desfavorable",FICHA!P43="pte."),1,0)))</f>
        <v>0</v>
      </c>
    </row>
    <row r="38" spans="3:11" x14ac:dyDescent="0.35">
      <c r="C38" s="27"/>
      <c r="D38" s="27"/>
      <c r="E38" s="27"/>
      <c r="F38" s="27"/>
      <c r="G38" s="30"/>
      <c r="H38" s="30"/>
      <c r="J38" s="17">
        <v>34</v>
      </c>
      <c r="K38" s="18">
        <f ca="1">IF(FICHA!P44="favorable",3,IF(FICHA!P44="condicionado",2,IF(OR(FICHA!P44="desfavorable",FICHA!P44="pte."),1,0)))</f>
        <v>0</v>
      </c>
    </row>
    <row r="39" spans="3:11" x14ac:dyDescent="0.35">
      <c r="C39" s="27"/>
      <c r="D39" s="27"/>
      <c r="E39" s="27"/>
      <c r="F39" s="27"/>
      <c r="G39" s="30"/>
      <c r="H39" s="30"/>
      <c r="J39" s="17">
        <v>35</v>
      </c>
      <c r="K39" s="18">
        <f ca="1">IF(FICHA!P45="favorable",3,IF(FICHA!P45="condicionado",2,IF(OR(FICHA!P45="desfavorable",FICHA!P45="pte."),1,0)))</f>
        <v>0</v>
      </c>
    </row>
    <row r="40" spans="3:11" x14ac:dyDescent="0.35">
      <c r="C40" s="27"/>
      <c r="D40" s="27"/>
      <c r="E40" s="27"/>
      <c r="F40" s="27"/>
      <c r="G40" s="30"/>
      <c r="H40" s="30"/>
      <c r="J40" s="17">
        <v>36</v>
      </c>
      <c r="K40" s="18">
        <f ca="1">IF(FICHA!P46="favorable",3,IF(FICHA!P46="condicionado",2,IF(OR(FICHA!P46="desfavorable",FICHA!P46="pte."),1,0)))</f>
        <v>0</v>
      </c>
    </row>
    <row r="41" spans="3:11" x14ac:dyDescent="0.35">
      <c r="J41" s="17">
        <v>37</v>
      </c>
      <c r="K41" s="18">
        <f ca="1">IF(FICHA!P47="favorable",3,IF(FICHA!P47="condicionado",2,IF(OR(FICHA!P47="desfavorable",FICHA!P47="pte."),1,0)))</f>
        <v>0</v>
      </c>
    </row>
    <row r="42" spans="3:11" x14ac:dyDescent="0.35">
      <c r="J42" s="17">
        <v>38</v>
      </c>
      <c r="K42" s="18">
        <f ca="1">IF(FICHA!P48="favorable",3,IF(FICHA!P48="condicionado",2,IF(OR(FICHA!P48="desfavorable",FICHA!P48="pte."),1,0)))</f>
        <v>0</v>
      </c>
    </row>
    <row r="43" spans="3:11" x14ac:dyDescent="0.35">
      <c r="J43" s="17">
        <v>39</v>
      </c>
      <c r="K43" s="18">
        <f ca="1">IF(FICHA!P49="favorable",3,IF(FICHA!P49="condicionado",2,IF(OR(FICHA!P49="desfavorable",FICHA!P49="pte."),1,0)))</f>
        <v>0</v>
      </c>
    </row>
    <row r="44" spans="3:11" x14ac:dyDescent="0.35">
      <c r="E44" s="16" t="s">
        <v>211</v>
      </c>
      <c r="J44" s="17">
        <v>40</v>
      </c>
      <c r="K44" s="18">
        <f ca="1">IF(FICHA!P50="favorable",3,IF(FICHA!P50="condicionado",2,IF(OR(FICHA!P50="desfavorable",FICHA!P50="pte."),1,0)))</f>
        <v>0</v>
      </c>
    </row>
    <row r="45" spans="3:11" x14ac:dyDescent="0.35">
      <c r="E45" s="16" t="s">
        <v>212</v>
      </c>
      <c r="J45" s="17">
        <v>41</v>
      </c>
      <c r="K45" s="18">
        <f ca="1">IF(FICHA!P51="favorable",3,IF(FICHA!P51="condicionado",2,IF(OR(FICHA!P51="desfavorable",FICHA!P51="pte."),1,0)))</f>
        <v>0</v>
      </c>
    </row>
    <row r="46" spans="3:11" x14ac:dyDescent="0.35">
      <c r="E46" s="16" t="s">
        <v>213</v>
      </c>
      <c r="J46" s="17">
        <v>42</v>
      </c>
      <c r="K46" s="18">
        <f ca="1">IF(FICHA!P52="favorable",3,IF(FICHA!P52="condicionado",2,IF(OR(FICHA!P52="desfavorable",FICHA!P52="pte."),1,0)))</f>
        <v>0</v>
      </c>
    </row>
    <row r="47" spans="3:11" x14ac:dyDescent="0.35">
      <c r="J47" s="17">
        <v>43</v>
      </c>
      <c r="K47" s="18">
        <f ca="1">IF(FICHA!P53="favorable",3,IF(FICHA!P53="condicionado",2,IF(OR(FICHA!P53="desfavorable",FICHA!P53="pte."),1,0)))</f>
        <v>0</v>
      </c>
    </row>
    <row r="48" spans="3:11" x14ac:dyDescent="0.35">
      <c r="J48" s="17">
        <v>44</v>
      </c>
      <c r="K48" s="18">
        <f ca="1">IF(FICHA!P54="favorable",3,IF(FICHA!P54="condicionado",2,IF(OR(FICHA!P54="desfavorable",FICHA!P54="pte."),1,0)))</f>
        <v>0</v>
      </c>
    </row>
    <row r="49" spans="4:11" x14ac:dyDescent="0.35">
      <c r="J49" s="17">
        <v>45</v>
      </c>
      <c r="K49" s="18">
        <f ca="1">IF(FICHA!P55="favorable",3,IF(FICHA!P55="condicionado",2,IF(OR(FICHA!P55="desfavorable",FICHA!P55="pte."),1,0)))</f>
        <v>0</v>
      </c>
    </row>
    <row r="50" spans="4:11" x14ac:dyDescent="0.35">
      <c r="J50" s="17">
        <v>46</v>
      </c>
      <c r="K50" s="18">
        <f ca="1">IF(FICHA!P56="favorable",3,IF(FICHA!P56="condicionado",2,IF(OR(FICHA!P56="desfavorable",FICHA!P56="pte."),1,0)))</f>
        <v>0</v>
      </c>
    </row>
    <row r="51" spans="4:11" x14ac:dyDescent="0.35">
      <c r="J51" s="17">
        <v>47</v>
      </c>
      <c r="K51" s="18">
        <f ca="1">IF(FICHA!P57="favorable",3,IF(FICHA!P57="condicionado",2,IF(OR(FICHA!P57="desfavorable",FICHA!P57="pte."),1,0)))</f>
        <v>0</v>
      </c>
    </row>
    <row r="52" spans="4:11" x14ac:dyDescent="0.35">
      <c r="J52" s="17">
        <v>48</v>
      </c>
      <c r="K52" s="18">
        <f ca="1">IF(FICHA!P58="favorable",3,IF(FICHA!P58="condicionado",2,IF(OR(FICHA!P58="desfavorable",FICHA!P58="pte."),1,0)))</f>
        <v>0</v>
      </c>
    </row>
    <row r="53" spans="4:11" x14ac:dyDescent="0.35">
      <c r="J53" s="17">
        <v>49</v>
      </c>
      <c r="K53" s="18">
        <f ca="1">IF(FICHA!P59="favorable",3,IF(FICHA!P59="condicionado",2,IF(OR(FICHA!P59="desfavorable",FICHA!P59="pte."),1,0)))</f>
        <v>0</v>
      </c>
    </row>
    <row r="54" spans="4:11" x14ac:dyDescent="0.35">
      <c r="J54" s="17">
        <v>50</v>
      </c>
      <c r="K54" s="18">
        <f ca="1">IF(FICHA!P60="favorable",3,IF(FICHA!P60="condicionado",2,IF(OR(FICHA!P60="desfavorable",FICHA!P60="pte."),1,0)))</f>
        <v>0</v>
      </c>
    </row>
    <row r="55" spans="4:11" x14ac:dyDescent="0.35">
      <c r="J55" s="17">
        <v>51</v>
      </c>
      <c r="K55" s="18">
        <f ca="1">IF(FICHA!P61="favorable",3,IF(FICHA!P61="condicionado",2,IF(OR(FICHA!P61="desfavorable",FICHA!P61="pte."),1,0)))</f>
        <v>0</v>
      </c>
    </row>
    <row r="56" spans="4:11" x14ac:dyDescent="0.35">
      <c r="J56" s="17">
        <v>52</v>
      </c>
      <c r="K56" s="18">
        <f ca="1">IF(FICHA!P62="favorable",3,IF(FICHA!P62="condicionado",2,IF(OR(FICHA!P62="desfavorable",FICHA!P62="pte."),1,0)))</f>
        <v>0</v>
      </c>
    </row>
    <row r="57" spans="4:11" x14ac:dyDescent="0.35">
      <c r="J57" s="17">
        <v>53</v>
      </c>
      <c r="K57" s="18">
        <f ca="1">IF(FICHA!P63="favorable",3,IF(FICHA!P63="condicionado",2,IF(OR(FICHA!P63="desfavorable",FICHA!P63="pte."),1,0)))</f>
        <v>0</v>
      </c>
    </row>
    <row r="58" spans="4:11" x14ac:dyDescent="0.35">
      <c r="J58" s="17">
        <v>54</v>
      </c>
      <c r="K58" s="18">
        <f ca="1">IF(FICHA!P64="favorable",3,IF(FICHA!P64="condicionado",2,IF(OR(FICHA!P64="desfavorable",FICHA!P64="pte."),1,0)))</f>
        <v>0</v>
      </c>
    </row>
    <row r="59" spans="4:11" x14ac:dyDescent="0.35">
      <c r="J59" s="17">
        <v>55</v>
      </c>
      <c r="K59" s="18">
        <f ca="1">IF(FICHA!P65="favorable",3,IF(FICHA!P65="condicionado",2,IF(OR(FICHA!P65="desfavorable",FICHA!P65="pte."),1,0)))</f>
        <v>0</v>
      </c>
    </row>
    <row r="60" spans="4:11" x14ac:dyDescent="0.35">
      <c r="J60" s="17">
        <v>56</v>
      </c>
      <c r="K60" s="18">
        <f ca="1">IF(FICHA!P66="favorable",3,IF(FICHA!P66="condicionado",2,IF(OR(FICHA!P66="desfavorable",FICHA!P66="pte."),1,0)))</f>
        <v>0</v>
      </c>
    </row>
    <row r="61" spans="4:11" x14ac:dyDescent="0.35">
      <c r="J61" s="17">
        <v>57</v>
      </c>
      <c r="K61" s="18">
        <f ca="1">IF(FICHA!P67="favorable",3,IF(FICHA!P67="condicionado",2,IF(OR(FICHA!P67="desfavorable",FICHA!P67="pte."),1,0)))</f>
        <v>0</v>
      </c>
    </row>
    <row r="62" spans="4:11" x14ac:dyDescent="0.35">
      <c r="J62" s="17">
        <v>58</v>
      </c>
      <c r="K62" s="18">
        <f ca="1">IF(FICHA!P68="favorable",3,IF(FICHA!P68="condicionado",2,IF(OR(FICHA!P68="desfavorable",FICHA!P68="pte."),1,0)))</f>
        <v>0</v>
      </c>
    </row>
    <row r="63" spans="4:11" x14ac:dyDescent="0.35">
      <c r="D63" s="26"/>
      <c r="J63" s="17">
        <v>59</v>
      </c>
      <c r="K63" s="18">
        <f ca="1">IF(FICHA!P69="favorable",3,IF(FICHA!P69="condicionado",2,IF(OR(FICHA!P69="desfavorable",FICHA!P69="pte."),1,0)))</f>
        <v>0</v>
      </c>
    </row>
    <row r="64" spans="4:11" x14ac:dyDescent="0.35">
      <c r="D64" s="26"/>
      <c r="J64" s="17">
        <v>60</v>
      </c>
      <c r="K64" s="18">
        <f ca="1">IF(FICHA!P70="favorable",3,IF(FICHA!P70="condicionado",2,IF(OR(FICHA!P70="desfavorable",FICHA!P70="pte."),1,0)))</f>
        <v>0</v>
      </c>
    </row>
    <row r="65" spans="4:11" x14ac:dyDescent="0.35">
      <c r="D65" s="26"/>
      <c r="J65" s="17">
        <v>61</v>
      </c>
      <c r="K65" s="18">
        <f ca="1">IF(FICHA!P71="favorable",3,IF(FICHA!P71="condicionado",2,IF(OR(FICHA!P71="desfavorable",FICHA!P71="pte."),1,0)))</f>
        <v>0</v>
      </c>
    </row>
    <row r="66" spans="4:11" x14ac:dyDescent="0.35">
      <c r="D66" s="26"/>
      <c r="J66" s="17">
        <v>62</v>
      </c>
      <c r="K66" s="18">
        <f ca="1">IF(FICHA!P72="favorable",3,IF(FICHA!P72="condicionado",2,IF(OR(FICHA!P72="desfavorable",FICHA!P72="pte."),1,0)))</f>
        <v>0</v>
      </c>
    </row>
    <row r="67" spans="4:11" x14ac:dyDescent="0.35">
      <c r="D67" s="26"/>
      <c r="J67" s="17">
        <v>63</v>
      </c>
      <c r="K67" s="18">
        <f ca="1">IF(FICHA!P73="favorable",3,IF(FICHA!P73="condicionado",2,IF(OR(FICHA!P73="desfavorable",FICHA!P73="pte."),1,0)))</f>
        <v>0</v>
      </c>
    </row>
    <row r="68" spans="4:11" x14ac:dyDescent="0.35">
      <c r="D68" s="26"/>
      <c r="J68" s="17">
        <v>64</v>
      </c>
      <c r="K68" s="18">
        <f ca="1">IF(FICHA!P74="favorable",3,IF(FICHA!P74="condicionado",2,IF(OR(FICHA!P74="desfavorable",FICHA!P74="pte."),1,0)))</f>
        <v>0</v>
      </c>
    </row>
    <row r="69" spans="4:11" x14ac:dyDescent="0.35">
      <c r="D69" s="26"/>
      <c r="J69" s="17">
        <v>65</v>
      </c>
      <c r="K69" s="18">
        <f ca="1">IF(FICHA!P75="favorable",3,IF(FICHA!P75="condicionado",2,IF(OR(FICHA!P75="desfavorable",FICHA!P75="pte."),1,0)))</f>
        <v>0</v>
      </c>
    </row>
    <row r="70" spans="4:11" x14ac:dyDescent="0.35">
      <c r="D70" s="26"/>
      <c r="J70" s="17">
        <v>66</v>
      </c>
      <c r="K70" s="18">
        <f ca="1">IF(FICHA!P76="favorable",3,IF(FICHA!P76="condicionado",2,IF(OR(FICHA!P76="desfavorable",FICHA!P76="pte."),1,0)))</f>
        <v>0</v>
      </c>
    </row>
    <row r="71" spans="4:11" x14ac:dyDescent="0.35">
      <c r="D71" s="26"/>
      <c r="J71" s="17">
        <v>67</v>
      </c>
      <c r="K71" s="18">
        <f ca="1">IF(FICHA!P77="favorable",3,IF(FICHA!P77="condicionado",2,IF(OR(FICHA!P77="desfavorable",FICHA!P77="pte."),1,0)))</f>
        <v>0</v>
      </c>
    </row>
    <row r="72" spans="4:11" x14ac:dyDescent="0.35">
      <c r="D72" s="26"/>
      <c r="J72" s="17">
        <v>68</v>
      </c>
      <c r="K72" s="18">
        <f ca="1">IF(FICHA!P78="favorable",3,IF(FICHA!P78="condicionado",2,IF(OR(FICHA!P78="desfavorable",FICHA!P78="pte."),1,0)))</f>
        <v>0</v>
      </c>
    </row>
    <row r="73" spans="4:11" x14ac:dyDescent="0.35">
      <c r="D73" s="26"/>
      <c r="J73" s="17">
        <v>69</v>
      </c>
      <c r="K73" s="18">
        <f ca="1">IF(FICHA!P79="favorable",3,IF(FICHA!P79="condicionado",2,IF(OR(FICHA!P79="desfavorable",FICHA!P79="pte."),1,0)))</f>
        <v>0</v>
      </c>
    </row>
    <row r="74" spans="4:11" x14ac:dyDescent="0.35">
      <c r="D74" s="26"/>
      <c r="J74" s="17">
        <v>70</v>
      </c>
      <c r="K74" s="18">
        <f ca="1">IF(FICHA!P80="favorable",3,IF(FICHA!P80="condicionado",2,IF(OR(FICHA!P80="desfavorable",FICHA!P80="pte."),1,0)))</f>
        <v>0</v>
      </c>
    </row>
    <row r="75" spans="4:11" x14ac:dyDescent="0.35">
      <c r="D75" s="26"/>
      <c r="J75" s="17">
        <v>71</v>
      </c>
      <c r="K75" s="18">
        <f ca="1">IF(FICHA!P81="favorable",3,IF(FICHA!P81="condicionado",2,IF(OR(FICHA!P81="desfavorable",FICHA!P81="pte."),1,0)))</f>
        <v>0</v>
      </c>
    </row>
    <row r="76" spans="4:11" x14ac:dyDescent="0.35">
      <c r="D76" s="26"/>
      <c r="J76" s="17">
        <v>72</v>
      </c>
      <c r="K76" s="18">
        <f ca="1">IF(FICHA!P82="favorable",3,IF(FICHA!P82="condicionado",2,IF(OR(FICHA!P82="desfavorable",FICHA!P82="pte."),1,0)))</f>
        <v>0</v>
      </c>
    </row>
    <row r="77" spans="4:11" x14ac:dyDescent="0.35">
      <c r="J77" s="17">
        <v>73</v>
      </c>
      <c r="K77" s="18">
        <f ca="1">IF(FICHA!P83="favorable",3,IF(FICHA!P83="condicionado",2,IF(OR(FICHA!P83="desfavorable",FICHA!P83="pte."),1,0)))</f>
        <v>0</v>
      </c>
    </row>
    <row r="78" spans="4:11" x14ac:dyDescent="0.35">
      <c r="J78" s="17">
        <v>74</v>
      </c>
      <c r="K78" s="18">
        <f ca="1">IF(FICHA!P84="favorable",3,IF(FICHA!P84="condicionado",2,IF(OR(FICHA!P84="desfavorable",FICHA!P84="pte."),1,0)))</f>
        <v>0</v>
      </c>
    </row>
    <row r="79" spans="4:11" x14ac:dyDescent="0.35">
      <c r="J79" s="17">
        <v>75</v>
      </c>
      <c r="K79" s="18">
        <f ca="1">IF(FICHA!P85="favorable",3,IF(FICHA!P85="condicionado",2,IF(OR(FICHA!P85="desfavorable",FICHA!P85="pte."),1,0)))</f>
        <v>0</v>
      </c>
    </row>
    <row r="80" spans="4:11" x14ac:dyDescent="0.35">
      <c r="J80" s="17">
        <v>76</v>
      </c>
      <c r="K80" s="18">
        <f ca="1">IF(FICHA!P86="favorable",3,IF(FICHA!P86="condicionado",2,IF(OR(FICHA!P86="desfavorable",FICHA!P86="pte."),1,0)))</f>
        <v>0</v>
      </c>
    </row>
    <row r="81" spans="10:11" x14ac:dyDescent="0.35">
      <c r="J81" s="17">
        <v>77</v>
      </c>
      <c r="K81" s="18">
        <f ca="1">IF(FICHA!P87="favorable",3,IF(FICHA!P87="condicionado",2,IF(OR(FICHA!P87="desfavorable",FICHA!P87="pte."),1,0)))</f>
        <v>0</v>
      </c>
    </row>
    <row r="82" spans="10:11" x14ac:dyDescent="0.35">
      <c r="J82" s="17">
        <v>78</v>
      </c>
      <c r="K82" s="18">
        <f ca="1">IF(FICHA!P88="favorable",3,IF(FICHA!P88="condicionado",2,IF(OR(FICHA!P88="desfavorable",FICHA!P88="pte."),1,0)))</f>
        <v>0</v>
      </c>
    </row>
    <row r="83" spans="10:11" x14ac:dyDescent="0.35">
      <c r="J83" s="17">
        <v>79</v>
      </c>
      <c r="K83" s="18">
        <f ca="1">IF(FICHA!P89="favorable",3,IF(FICHA!P89="condicionado",2,IF(OR(FICHA!P89="desfavorable",FICHA!P89="pte."),1,0)))</f>
        <v>0</v>
      </c>
    </row>
    <row r="84" spans="10:11" x14ac:dyDescent="0.35">
      <c r="J84" s="17">
        <v>80</v>
      </c>
      <c r="K84" s="18">
        <f ca="1">IF(FICHA!P90="favorable",3,IF(FICHA!P90="condicionado",2,IF(OR(FICHA!P90="desfavorable",FICHA!P90="pte."),1,0)))</f>
        <v>0</v>
      </c>
    </row>
    <row r="85" spans="10:11" x14ac:dyDescent="0.35">
      <c r="J85" s="17">
        <v>81</v>
      </c>
      <c r="K85" s="18">
        <f ca="1">IF(FICHA!P91="favorable",3,IF(FICHA!P91="condicionado",2,IF(OR(FICHA!P91="desfavorable",FICHA!P91="pte."),1,0)))</f>
        <v>0</v>
      </c>
    </row>
    <row r="86" spans="10:11" x14ac:dyDescent="0.35">
      <c r="J86" s="17">
        <v>82</v>
      </c>
      <c r="K86" s="18">
        <f ca="1">IF(FICHA!P92="favorable",3,IF(FICHA!P92="condicionado",2,IF(OR(FICHA!P92="desfavorable",FICHA!P92="pte."),1,0)))</f>
        <v>0</v>
      </c>
    </row>
    <row r="87" spans="10:11" x14ac:dyDescent="0.35">
      <c r="J87" s="17">
        <v>83</v>
      </c>
      <c r="K87" s="18">
        <f ca="1">IF(FICHA!P93="favorable",3,IF(FICHA!P93="condicionado",2,IF(OR(FICHA!P93="desfavorable",FICHA!P93="pte."),1,0)))</f>
        <v>0</v>
      </c>
    </row>
    <row r="88" spans="10:11" x14ac:dyDescent="0.35">
      <c r="J88" s="17">
        <v>84</v>
      </c>
      <c r="K88" s="18">
        <f ca="1">IF(FICHA!P94="favorable",3,IF(FICHA!P94="condicionado",2,IF(OR(FICHA!P94="desfavorable",FICHA!P94="pte."),1,0)))</f>
        <v>0</v>
      </c>
    </row>
    <row r="89" spans="10:11" x14ac:dyDescent="0.35">
      <c r="J89" s="17">
        <v>85</v>
      </c>
      <c r="K89" s="18">
        <f>IF(FICHA!P95="favorable",3,IF(FICHA!P95="condicionado",2,IF(OR(FICHA!P95="desfavorable",FICHA!P95="pte."),1,0)))</f>
        <v>0</v>
      </c>
    </row>
    <row r="90" spans="10:11" x14ac:dyDescent="0.35">
      <c r="J90" s="17">
        <v>86</v>
      </c>
      <c r="K90" s="18">
        <f>IF(FICHA!P96="favorable",3,IF(FICHA!P96="condicionado",2,IF(OR(FICHA!P96="desfavorable",FICHA!P96="pte."),1,0)))</f>
        <v>0</v>
      </c>
    </row>
    <row r="91" spans="10:11" x14ac:dyDescent="0.35">
      <c r="J91" s="17">
        <v>87</v>
      </c>
      <c r="K91" s="18">
        <f>IF(FICHA!P97="favorable",3,IF(FICHA!P97="condicionado",2,IF(OR(FICHA!P97="desfavorable",FICHA!P97="pte."),1,0)))</f>
        <v>0</v>
      </c>
    </row>
    <row r="92" spans="10:11" x14ac:dyDescent="0.35">
      <c r="J92" s="17">
        <v>88</v>
      </c>
      <c r="K92" s="18">
        <f>IF(FICHA!P98="favorable",3,IF(FICHA!P98="condicionado",2,IF(OR(FICHA!P98="desfavorable",FICHA!P98="pte."),1,0)))</f>
        <v>0</v>
      </c>
    </row>
    <row r="98" spans="12:12" x14ac:dyDescent="0.35">
      <c r="L98" s="5"/>
    </row>
    <row r="99" spans="12:12" x14ac:dyDescent="0.35">
      <c r="L99" s="5"/>
    </row>
  </sheetData>
  <autoFilter ref="C3:H40" xr:uid="{7452BB77-E106-45EC-B11A-98DA4D0FC395}">
    <sortState xmlns:xlrd2="http://schemas.microsoft.com/office/spreadsheetml/2017/richdata2" ref="C4:H40">
      <sortCondition ref="C3:C40"/>
    </sortState>
  </autoFilter>
  <customSheetViews>
    <customSheetView guid="{AFEF642E-49E4-4E87-9020-14590227B0B9}">
      <selection activeCell="F5" sqref="F5:F21"/>
    </customSheetView>
  </customSheetViews>
  <mergeCells count="2">
    <mergeCell ref="J3:N3"/>
    <mergeCell ref="M18:N18"/>
  </mergeCells>
  <phoneticPr fontId="2" type="noConversion"/>
  <conditionalFormatting sqref="J5:K92">
    <cfRule type="cellIs" dxfId="8" priority="1" operator="equal">
      <formula>"Pte."</formula>
    </cfRule>
    <cfRule type="cellIs" dxfId="7" priority="2" operator="equal">
      <formula>"FAVORABLE"</formula>
    </cfRule>
    <cfRule type="cellIs" dxfId="6" priority="3" operator="equal">
      <formula>"Desfavorable"</formula>
    </cfRule>
    <cfRule type="cellIs" dxfId="5" priority="4" operator="equal">
      <formula>"condicionado"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FICHA</vt:lpstr>
      <vt:lpstr>VISTA_ESTADO</vt:lpstr>
      <vt:lpstr>BD</vt:lpstr>
      <vt:lpstr>FICHA!Área_de_impresión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Bermejo Zajara</dc:creator>
  <cp:lastModifiedBy>Pedro Bermejo Zajara</cp:lastModifiedBy>
  <cp:lastPrinted>2026-05-29T12:07:10Z</cp:lastPrinted>
  <dcterms:created xsi:type="dcterms:W3CDTF">2022-02-21T17:40:12Z</dcterms:created>
  <dcterms:modified xsi:type="dcterms:W3CDTF">2026-07-24T08:35:46Z</dcterms:modified>
</cp:coreProperties>
</file>